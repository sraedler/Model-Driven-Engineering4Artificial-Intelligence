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928"/>
  <workbookPr/>
  <mc:AlternateContent xmlns:mc="http://schemas.openxmlformats.org/markup-compatibility/2006">
    <mc:Choice Requires="x15">
      <x15ac:absPath xmlns:x15ac="http://schemas.microsoft.com/office/spreadsheetml/2010/11/ac" url="C:\git_repos\Model-Driven-Engineering4Artificial-Intelligence\"/>
    </mc:Choice>
  </mc:AlternateContent>
  <xr:revisionPtr revIDLastSave="0" documentId="13_ncr:1_{12D67EC8-6177-469F-975D-D5A335B245E9}" xr6:coauthVersionLast="47" xr6:coauthVersionMax="47" xr10:uidLastSave="{00000000-0000-0000-0000-000000000000}"/>
  <bookViews>
    <workbookView xWindow="29895" yWindow="-60" windowWidth="38700" windowHeight="15285" xr2:uid="{00000000-000D-0000-FFFF-FFFF00000000}"/>
    <workbookView xWindow="30450" yWindow="1650" windowWidth="38700" windowHeight="15285" firstSheet="6" activeTab="8" xr2:uid="{FC0BA8A1-34E3-4FA5-A0A1-17854CD9E08C}"/>
  </bookViews>
  <sheets>
    <sheet name="1. RG-RQ" sheetId="2" r:id="rId1"/>
    <sheet name="2. Search Queries" sheetId="3" r:id="rId2"/>
    <sheet name="3. Unique Results" sheetId="4" r:id="rId3"/>
    <sheet name="4. Selection Based on Title" sheetId="5" r:id="rId4"/>
    <sheet name="5. Selection Based on Abstract" sheetId="6" r:id="rId5"/>
    <sheet name="6. Selection Based on Full-Text" sheetId="8" r:id="rId6"/>
    <sheet name="6.1 Snowballing Results" sheetId="10" r:id="rId7"/>
    <sheet name="6.2 Snowballing Full-Text" sheetId="11" r:id="rId8"/>
    <sheet name="7. Data-Extraction" sheetId="9" r:id="rId9"/>
  </sheets>
  <definedNames>
    <definedName name="ExterneDaten_1" localSheetId="3" hidden="1">'4. Selection Based on Title'!#REF!</definedName>
    <definedName name="ExterneDaten_2" localSheetId="2" hidden="1">'3. Unique Results'!$A$1:$Z$712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9" l="1"/>
  <c r="R3" i="9"/>
  <c r="R4" i="9"/>
  <c r="K3" i="9"/>
  <c r="L3" i="9"/>
  <c r="K4" i="9"/>
  <c r="L4" i="9"/>
  <c r="F3" i="9"/>
  <c r="T3" i="9"/>
  <c r="E3" i="9"/>
  <c r="F4" i="9"/>
  <c r="T4" i="9"/>
  <c r="E4" i="9"/>
  <c r="I3" i="9"/>
  <c r="N3" i="9"/>
  <c r="I4" i="9"/>
  <c r="N4" i="9"/>
  <c r="P3" i="9"/>
  <c r="D3" i="9"/>
  <c r="P4" i="9"/>
  <c r="D4" i="9"/>
  <c r="S4" i="9"/>
  <c r="U4" i="9"/>
  <c r="G4" i="9"/>
  <c r="J4" i="9"/>
  <c r="U3" i="9"/>
  <c r="S3" i="9"/>
  <c r="G3" i="9"/>
  <c r="W12" i="8"/>
  <c r="V12" i="8"/>
  <c r="U12" i="8"/>
  <c r="T12" i="8"/>
  <c r="S12" i="8"/>
  <c r="R12" i="8"/>
  <c r="Q12" i="8"/>
  <c r="P12" i="8"/>
  <c r="O12" i="8"/>
  <c r="N12" i="8"/>
  <c r="M12" i="8"/>
  <c r="L12" i="8"/>
  <c r="K12" i="8"/>
  <c r="J12" i="8"/>
  <c r="I12" i="8"/>
  <c r="H12" i="8"/>
  <c r="G12" i="8"/>
  <c r="F12" i="8"/>
  <c r="E12" i="8"/>
  <c r="D12" i="8"/>
  <c r="C12" i="8"/>
  <c r="B12" i="8"/>
  <c r="W9" i="8"/>
  <c r="V9" i="8"/>
  <c r="U9" i="8"/>
  <c r="T9" i="8"/>
  <c r="S9" i="8"/>
  <c r="R9" i="8"/>
  <c r="Q9" i="8"/>
  <c r="P9" i="8"/>
  <c r="O9" i="8"/>
  <c r="N9" i="8"/>
  <c r="M9" i="8"/>
  <c r="L9" i="8"/>
  <c r="K9" i="8"/>
  <c r="J9" i="8"/>
  <c r="I9" i="8"/>
  <c r="H9" i="8"/>
  <c r="G9" i="8"/>
  <c r="F9" i="8"/>
  <c r="E9" i="8"/>
  <c r="D9" i="8"/>
  <c r="C9" i="8"/>
  <c r="B9" i="8"/>
  <c r="W8" i="8"/>
  <c r="V8" i="8"/>
  <c r="U8" i="8"/>
  <c r="T8" i="8"/>
  <c r="S8" i="8"/>
  <c r="R8" i="8"/>
  <c r="Q8" i="8"/>
  <c r="P8" i="8"/>
  <c r="O8" i="8"/>
  <c r="N8" i="8"/>
  <c r="M8" i="8"/>
  <c r="L8" i="8"/>
  <c r="K8" i="8"/>
  <c r="J8" i="8"/>
  <c r="I8" i="8"/>
  <c r="H8" i="8"/>
  <c r="G8" i="8"/>
  <c r="F8" i="8"/>
  <c r="E8" i="8"/>
  <c r="D8" i="8"/>
  <c r="C8" i="8"/>
  <c r="B8" i="8"/>
  <c r="W3" i="8"/>
  <c r="V3" i="8"/>
  <c r="U3" i="8"/>
  <c r="T3" i="8"/>
  <c r="S3" i="8"/>
  <c r="R3" i="8"/>
  <c r="Q3" i="8"/>
  <c r="P3" i="8"/>
  <c r="O3" i="8"/>
  <c r="N3" i="8"/>
  <c r="M3" i="8"/>
  <c r="L3" i="8"/>
  <c r="K3" i="8"/>
  <c r="J3" i="8"/>
  <c r="I3" i="8"/>
  <c r="H3" i="8"/>
  <c r="G3" i="8"/>
  <c r="F3" i="8"/>
  <c r="E3" i="8"/>
  <c r="D3" i="8"/>
  <c r="C3" i="8"/>
  <c r="B3" i="8"/>
  <c r="W15" i="8"/>
  <c r="V15" i="8"/>
  <c r="U15" i="8"/>
  <c r="T15" i="8"/>
  <c r="S15" i="8"/>
  <c r="R15" i="8"/>
  <c r="Q15" i="8"/>
  <c r="P15" i="8"/>
  <c r="O15" i="8"/>
  <c r="N15" i="8"/>
  <c r="M15" i="8"/>
  <c r="L15" i="8"/>
  <c r="K15" i="8"/>
  <c r="J15" i="8"/>
  <c r="I15" i="8"/>
  <c r="H15" i="8"/>
  <c r="G15" i="8"/>
  <c r="F15" i="8"/>
  <c r="E15" i="8"/>
  <c r="D15" i="8"/>
  <c r="C15" i="8"/>
  <c r="B15" i="8"/>
  <c r="W4" i="8"/>
  <c r="V4" i="8"/>
  <c r="U4" i="8"/>
  <c r="T4" i="8"/>
  <c r="S4" i="8"/>
  <c r="R4" i="8"/>
  <c r="Q4" i="8"/>
  <c r="P4" i="8"/>
  <c r="O4" i="8"/>
  <c r="N4" i="8"/>
  <c r="M4" i="8"/>
  <c r="L4" i="8"/>
  <c r="K4" i="8"/>
  <c r="J4" i="8"/>
  <c r="I4" i="8"/>
  <c r="H4" i="8"/>
  <c r="G4" i="8"/>
  <c r="F4" i="8"/>
  <c r="E4" i="8"/>
  <c r="D4" i="8"/>
  <c r="C4" i="8"/>
  <c r="B4" i="8"/>
  <c r="W10" i="8"/>
  <c r="V10" i="8"/>
  <c r="U10" i="8"/>
  <c r="T10" i="8"/>
  <c r="S10" i="8"/>
  <c r="R10" i="8"/>
  <c r="Q10" i="8"/>
  <c r="P10" i="8"/>
  <c r="O10" i="8"/>
  <c r="N10" i="8"/>
  <c r="M10" i="8"/>
  <c r="L10" i="8"/>
  <c r="K10" i="8"/>
  <c r="J10" i="8"/>
  <c r="I10" i="8"/>
  <c r="H10" i="8"/>
  <c r="G10" i="8"/>
  <c r="F10" i="8"/>
  <c r="E10" i="8"/>
  <c r="D10" i="8"/>
  <c r="C10" i="8"/>
  <c r="B10" i="8"/>
  <c r="W6" i="8"/>
  <c r="V6" i="8"/>
  <c r="U6" i="8"/>
  <c r="T6" i="8"/>
  <c r="S6" i="8"/>
  <c r="R6" i="8"/>
  <c r="Q6" i="8"/>
  <c r="P6" i="8"/>
  <c r="O6" i="8"/>
  <c r="N6" i="8"/>
  <c r="M6" i="8"/>
  <c r="L6" i="8"/>
  <c r="K6" i="8"/>
  <c r="J6" i="8"/>
  <c r="I6" i="8"/>
  <c r="H6" i="8"/>
  <c r="G6" i="8"/>
  <c r="F6" i="8"/>
  <c r="E6" i="8"/>
  <c r="D6" i="8"/>
  <c r="C6" i="8"/>
  <c r="B6" i="8"/>
  <c r="W2" i="8"/>
  <c r="V2" i="8"/>
  <c r="U2" i="8"/>
  <c r="T2" i="8"/>
  <c r="S2" i="8"/>
  <c r="R2" i="8"/>
  <c r="Q2" i="8"/>
  <c r="P2" i="8"/>
  <c r="O2" i="8"/>
  <c r="N2" i="8"/>
  <c r="M2" i="8"/>
  <c r="L2" i="8"/>
  <c r="K2" i="8"/>
  <c r="J2" i="8"/>
  <c r="I2" i="8"/>
  <c r="H2" i="8"/>
  <c r="G2" i="8"/>
  <c r="F2" i="8"/>
  <c r="E2" i="8"/>
  <c r="D2" i="8"/>
  <c r="C2" i="8"/>
  <c r="B2" i="8"/>
  <c r="W11" i="8"/>
  <c r="V11" i="8"/>
  <c r="U11" i="8"/>
  <c r="T11" i="8"/>
  <c r="S11" i="8"/>
  <c r="R11" i="8"/>
  <c r="Q11" i="8"/>
  <c r="P11" i="8"/>
  <c r="O11" i="8"/>
  <c r="N11" i="8"/>
  <c r="M11" i="8"/>
  <c r="L11" i="8"/>
  <c r="K11" i="8"/>
  <c r="J11" i="8"/>
  <c r="I11" i="8"/>
  <c r="H11" i="8"/>
  <c r="G11" i="8"/>
  <c r="F11" i="8"/>
  <c r="E11" i="8"/>
  <c r="D11" i="8"/>
  <c r="C11" i="8"/>
  <c r="B11" i="8"/>
  <c r="W5" i="8"/>
  <c r="V5" i="8"/>
  <c r="U5" i="8"/>
  <c r="T5" i="8"/>
  <c r="S5" i="8"/>
  <c r="R5" i="8"/>
  <c r="Q5" i="8"/>
  <c r="P5" i="8"/>
  <c r="O5" i="8"/>
  <c r="N5" i="8"/>
  <c r="M5" i="8"/>
  <c r="L5" i="8"/>
  <c r="K5" i="8"/>
  <c r="J5" i="8"/>
  <c r="I5" i="8"/>
  <c r="H5" i="8"/>
  <c r="G5" i="8"/>
  <c r="F5" i="8"/>
  <c r="E5" i="8"/>
  <c r="D5" i="8"/>
  <c r="C5" i="8"/>
  <c r="B5" i="8"/>
  <c r="W13" i="8"/>
  <c r="V13" i="8"/>
  <c r="U13" i="8"/>
  <c r="T13" i="8"/>
  <c r="S13" i="8"/>
  <c r="R13" i="8"/>
  <c r="Q13" i="8"/>
  <c r="P13" i="8"/>
  <c r="O13" i="8"/>
  <c r="N13" i="8"/>
  <c r="M13" i="8"/>
  <c r="L13" i="8"/>
  <c r="K13" i="8"/>
  <c r="J13" i="8"/>
  <c r="I13" i="8"/>
  <c r="H13" i="8"/>
  <c r="G13" i="8"/>
  <c r="F13" i="8"/>
  <c r="E13" i="8"/>
  <c r="D13" i="8"/>
  <c r="C13" i="8"/>
  <c r="B13" i="8"/>
  <c r="W16" i="8"/>
  <c r="V16" i="8"/>
  <c r="U16" i="8"/>
  <c r="T16" i="8"/>
  <c r="S16" i="8"/>
  <c r="R16" i="8"/>
  <c r="Q16" i="8"/>
  <c r="P16" i="8"/>
  <c r="O16" i="8"/>
  <c r="N16" i="8"/>
  <c r="M16" i="8"/>
  <c r="L16" i="8"/>
  <c r="K16" i="8"/>
  <c r="J16" i="8"/>
  <c r="I16" i="8"/>
  <c r="H16" i="8"/>
  <c r="G16" i="8"/>
  <c r="F16" i="8"/>
  <c r="E16" i="8"/>
  <c r="D16" i="8"/>
  <c r="C16" i="8"/>
  <c r="B16" i="8"/>
  <c r="W14" i="8"/>
  <c r="V14" i="8"/>
  <c r="U14" i="8"/>
  <c r="T14" i="8"/>
  <c r="S14" i="8"/>
  <c r="R14" i="8"/>
  <c r="Q14" i="8"/>
  <c r="P14" i="8"/>
  <c r="O14" i="8"/>
  <c r="N14" i="8"/>
  <c r="M14" i="8"/>
  <c r="L14" i="8"/>
  <c r="K14" i="8"/>
  <c r="J14" i="8"/>
  <c r="I14" i="8"/>
  <c r="H14" i="8"/>
  <c r="G14" i="8"/>
  <c r="F14" i="8"/>
  <c r="E14" i="8"/>
  <c r="D14" i="8"/>
  <c r="C14" i="8"/>
  <c r="B14" i="8"/>
  <c r="W7" i="8"/>
  <c r="V7" i="8"/>
  <c r="U7" i="8"/>
  <c r="T7" i="8"/>
  <c r="S7" i="8"/>
  <c r="R7" i="8"/>
  <c r="Q7" i="8"/>
  <c r="P7" i="8"/>
  <c r="O7" i="8"/>
  <c r="N7" i="8"/>
  <c r="M7" i="8"/>
  <c r="L7" i="8"/>
  <c r="K7" i="8"/>
  <c r="J7" i="8"/>
  <c r="I7" i="8"/>
  <c r="H7" i="8"/>
  <c r="G7" i="8"/>
  <c r="F7" i="8"/>
  <c r="E7" i="8"/>
  <c r="D7" i="8"/>
  <c r="C7" i="8"/>
  <c r="B7" i="8"/>
  <c r="B11" i="6"/>
  <c r="B36" i="6"/>
  <c r="W18" i="6"/>
  <c r="V18" i="6"/>
  <c r="U18" i="6"/>
  <c r="T18" i="6"/>
  <c r="S18" i="6"/>
  <c r="R18" i="6"/>
  <c r="Q18" i="6"/>
  <c r="P18" i="6"/>
  <c r="O18" i="6"/>
  <c r="N18" i="6"/>
  <c r="M18" i="6"/>
  <c r="L18" i="6"/>
  <c r="K18" i="6"/>
  <c r="J18" i="6"/>
  <c r="I18" i="6"/>
  <c r="H18" i="6"/>
  <c r="G18" i="6"/>
  <c r="F18" i="6"/>
  <c r="E18" i="6"/>
  <c r="D18" i="6"/>
  <c r="C18" i="6"/>
  <c r="B18" i="6"/>
  <c r="W3" i="6"/>
  <c r="V3" i="6"/>
  <c r="U3" i="6"/>
  <c r="T3" i="6"/>
  <c r="S3" i="6"/>
  <c r="R3" i="6"/>
  <c r="Q3" i="6"/>
  <c r="P3" i="6"/>
  <c r="O3" i="6"/>
  <c r="N3" i="6"/>
  <c r="M3" i="6"/>
  <c r="L3" i="6"/>
  <c r="K3" i="6"/>
  <c r="J3" i="6"/>
  <c r="I3" i="6"/>
  <c r="H3" i="6"/>
  <c r="G3" i="6"/>
  <c r="F3" i="6"/>
  <c r="E3" i="6"/>
  <c r="D3" i="6"/>
  <c r="C3" i="6"/>
  <c r="B3" i="6"/>
  <c r="W7" i="6"/>
  <c r="V7" i="6"/>
  <c r="U7" i="6"/>
  <c r="T7" i="6"/>
  <c r="S7" i="6"/>
  <c r="R7" i="6"/>
  <c r="Q7" i="6"/>
  <c r="P7" i="6"/>
  <c r="O7" i="6"/>
  <c r="N7" i="6"/>
  <c r="M7" i="6"/>
  <c r="L7" i="6"/>
  <c r="K7" i="6"/>
  <c r="J7" i="6"/>
  <c r="I7" i="6"/>
  <c r="H7" i="6"/>
  <c r="G7" i="6"/>
  <c r="F7" i="6"/>
  <c r="E7" i="6"/>
  <c r="D7" i="6"/>
  <c r="C7" i="6"/>
  <c r="B7" i="6"/>
  <c r="W16" i="6"/>
  <c r="V16" i="6"/>
  <c r="U16" i="6"/>
  <c r="T16" i="6"/>
  <c r="S16" i="6"/>
  <c r="R16" i="6"/>
  <c r="Q16" i="6"/>
  <c r="P16" i="6"/>
  <c r="O16" i="6"/>
  <c r="N16" i="6"/>
  <c r="M16" i="6"/>
  <c r="L16" i="6"/>
  <c r="K16" i="6"/>
  <c r="J16" i="6"/>
  <c r="I16" i="6"/>
  <c r="H16" i="6"/>
  <c r="G16" i="6"/>
  <c r="F16" i="6"/>
  <c r="E16" i="6"/>
  <c r="D16" i="6"/>
  <c r="C16" i="6"/>
  <c r="B16" i="6"/>
  <c r="W14" i="6"/>
  <c r="V14" i="6"/>
  <c r="U14" i="6"/>
  <c r="T14" i="6"/>
  <c r="S14" i="6"/>
  <c r="R14" i="6"/>
  <c r="Q14" i="6"/>
  <c r="P14" i="6"/>
  <c r="O14" i="6"/>
  <c r="N14" i="6"/>
  <c r="M14" i="6"/>
  <c r="L14" i="6"/>
  <c r="K14" i="6"/>
  <c r="J14" i="6"/>
  <c r="I14" i="6"/>
  <c r="H14" i="6"/>
  <c r="G14" i="6"/>
  <c r="F14" i="6"/>
  <c r="E14" i="6"/>
  <c r="D14" i="6"/>
  <c r="C14" i="6"/>
  <c r="B14" i="6"/>
  <c r="W32" i="6"/>
  <c r="V32" i="6"/>
  <c r="U32" i="6"/>
  <c r="T32" i="6"/>
  <c r="S32" i="6"/>
  <c r="R32" i="6"/>
  <c r="Q32" i="6"/>
  <c r="P32" i="6"/>
  <c r="O32" i="6"/>
  <c r="N32" i="6"/>
  <c r="M32" i="6"/>
  <c r="L32" i="6"/>
  <c r="K32" i="6"/>
  <c r="J32" i="6"/>
  <c r="I32" i="6"/>
  <c r="H32" i="6"/>
  <c r="G32" i="6"/>
  <c r="F32" i="6"/>
  <c r="E32" i="6"/>
  <c r="D32" i="6"/>
  <c r="C32" i="6"/>
  <c r="B32" i="6"/>
  <c r="W8" i="6"/>
  <c r="V8" i="6"/>
  <c r="U8" i="6"/>
  <c r="T8" i="6"/>
  <c r="S8" i="6"/>
  <c r="R8" i="6"/>
  <c r="Q8" i="6"/>
  <c r="P8" i="6"/>
  <c r="O8" i="6"/>
  <c r="N8" i="6"/>
  <c r="M8" i="6"/>
  <c r="L8" i="6"/>
  <c r="K8" i="6"/>
  <c r="J8" i="6"/>
  <c r="I8" i="6"/>
  <c r="H8" i="6"/>
  <c r="G8" i="6"/>
  <c r="F8" i="6"/>
  <c r="E8" i="6"/>
  <c r="D8" i="6"/>
  <c r="C8" i="6"/>
  <c r="B8" i="6"/>
  <c r="W33" i="6"/>
  <c r="V33" i="6"/>
  <c r="U33" i="6"/>
  <c r="T33" i="6"/>
  <c r="S33" i="6"/>
  <c r="R33" i="6"/>
  <c r="Q33" i="6"/>
  <c r="P33" i="6"/>
  <c r="O33" i="6"/>
  <c r="N33" i="6"/>
  <c r="M33" i="6"/>
  <c r="L33" i="6"/>
  <c r="K33" i="6"/>
  <c r="J33" i="6"/>
  <c r="I33" i="6"/>
  <c r="H33" i="6"/>
  <c r="G33" i="6"/>
  <c r="F33" i="6"/>
  <c r="E33" i="6"/>
  <c r="D33" i="6"/>
  <c r="C33" i="6"/>
  <c r="B33" i="6"/>
  <c r="W17" i="6"/>
  <c r="V17" i="6"/>
  <c r="U17" i="6"/>
  <c r="T17" i="6"/>
  <c r="S17" i="6"/>
  <c r="R17" i="6"/>
  <c r="Q17" i="6"/>
  <c r="P17" i="6"/>
  <c r="O17" i="6"/>
  <c r="N17" i="6"/>
  <c r="M17" i="6"/>
  <c r="L17" i="6"/>
  <c r="K17" i="6"/>
  <c r="J17" i="6"/>
  <c r="I17" i="6"/>
  <c r="H17" i="6"/>
  <c r="G17" i="6"/>
  <c r="F17" i="6"/>
  <c r="E17" i="6"/>
  <c r="D17" i="6"/>
  <c r="C17" i="6"/>
  <c r="B17" i="6"/>
  <c r="W9" i="6"/>
  <c r="V9" i="6"/>
  <c r="U9" i="6"/>
  <c r="T9" i="6"/>
  <c r="S9" i="6"/>
  <c r="R9" i="6"/>
  <c r="Q9" i="6"/>
  <c r="P9" i="6"/>
  <c r="O9" i="6"/>
  <c r="N9" i="6"/>
  <c r="M9" i="6"/>
  <c r="L9" i="6"/>
  <c r="K9" i="6"/>
  <c r="J9" i="6"/>
  <c r="I9" i="6"/>
  <c r="H9" i="6"/>
  <c r="G9" i="6"/>
  <c r="F9" i="6"/>
  <c r="E9" i="6"/>
  <c r="D9" i="6"/>
  <c r="C9" i="6"/>
  <c r="B9" i="6"/>
  <c r="W19" i="6"/>
  <c r="V19" i="6"/>
  <c r="U19" i="6"/>
  <c r="T19" i="6"/>
  <c r="S19" i="6"/>
  <c r="R19" i="6"/>
  <c r="Q19" i="6"/>
  <c r="P19" i="6"/>
  <c r="O19" i="6"/>
  <c r="N19" i="6"/>
  <c r="M19" i="6"/>
  <c r="L19" i="6"/>
  <c r="K19" i="6"/>
  <c r="J19" i="6"/>
  <c r="I19" i="6"/>
  <c r="H19" i="6"/>
  <c r="G19" i="6"/>
  <c r="F19" i="6"/>
  <c r="E19" i="6"/>
  <c r="D19" i="6"/>
  <c r="C19" i="6"/>
  <c r="B19" i="6"/>
  <c r="W36" i="6"/>
  <c r="V36" i="6"/>
  <c r="U36" i="6"/>
  <c r="T36" i="6"/>
  <c r="S36" i="6"/>
  <c r="R36" i="6"/>
  <c r="Q36" i="6"/>
  <c r="P36" i="6"/>
  <c r="O36" i="6"/>
  <c r="N36" i="6"/>
  <c r="M36" i="6"/>
  <c r="L36" i="6"/>
  <c r="K36" i="6"/>
  <c r="J36" i="6"/>
  <c r="I36" i="6"/>
  <c r="H36" i="6"/>
  <c r="G36" i="6"/>
  <c r="F36" i="6"/>
  <c r="E36" i="6"/>
  <c r="D36" i="6"/>
  <c r="C36" i="6"/>
  <c r="W38" i="6"/>
  <c r="V38" i="6"/>
  <c r="U38" i="6"/>
  <c r="T38" i="6"/>
  <c r="S38" i="6"/>
  <c r="R38" i="6"/>
  <c r="Q38" i="6"/>
  <c r="P38" i="6"/>
  <c r="O38" i="6"/>
  <c r="N38" i="6"/>
  <c r="M38" i="6"/>
  <c r="L38" i="6"/>
  <c r="K38" i="6"/>
  <c r="J38" i="6"/>
  <c r="I38" i="6"/>
  <c r="H38" i="6"/>
  <c r="G38" i="6"/>
  <c r="F38" i="6"/>
  <c r="E38" i="6"/>
  <c r="D38" i="6"/>
  <c r="C38" i="6"/>
  <c r="B38" i="6"/>
  <c r="W34" i="6"/>
  <c r="V34" i="6"/>
  <c r="U34" i="6"/>
  <c r="T34" i="6"/>
  <c r="S34" i="6"/>
  <c r="R34" i="6"/>
  <c r="Q34" i="6"/>
  <c r="P34" i="6"/>
  <c r="O34" i="6"/>
  <c r="N34" i="6"/>
  <c r="M34" i="6"/>
  <c r="L34" i="6"/>
  <c r="K34" i="6"/>
  <c r="J34" i="6"/>
  <c r="I34" i="6"/>
  <c r="H34" i="6"/>
  <c r="G34" i="6"/>
  <c r="F34" i="6"/>
  <c r="E34" i="6"/>
  <c r="D34" i="6"/>
  <c r="C34" i="6"/>
  <c r="B34" i="6"/>
  <c r="W26" i="6"/>
  <c r="V26" i="6"/>
  <c r="U26" i="6"/>
  <c r="T26" i="6"/>
  <c r="S26" i="6"/>
  <c r="R26" i="6"/>
  <c r="Q26" i="6"/>
  <c r="P26" i="6"/>
  <c r="O26" i="6"/>
  <c r="N26" i="6"/>
  <c r="M26" i="6"/>
  <c r="L26" i="6"/>
  <c r="K26" i="6"/>
  <c r="J26" i="6"/>
  <c r="I26" i="6"/>
  <c r="H26" i="6"/>
  <c r="G26" i="6"/>
  <c r="F26" i="6"/>
  <c r="E26" i="6"/>
  <c r="D26" i="6"/>
  <c r="C26" i="6"/>
  <c r="B26" i="6"/>
  <c r="W25" i="6"/>
  <c r="V25" i="6"/>
  <c r="U25" i="6"/>
  <c r="T25" i="6"/>
  <c r="S25" i="6"/>
  <c r="R25" i="6"/>
  <c r="Q25" i="6"/>
  <c r="P25" i="6"/>
  <c r="O25" i="6"/>
  <c r="N25" i="6"/>
  <c r="M25" i="6"/>
  <c r="L25" i="6"/>
  <c r="K25" i="6"/>
  <c r="J25" i="6"/>
  <c r="I25" i="6"/>
  <c r="H25" i="6"/>
  <c r="G25" i="6"/>
  <c r="F25" i="6"/>
  <c r="E25" i="6"/>
  <c r="D25" i="6"/>
  <c r="C25" i="6"/>
  <c r="B25" i="6"/>
  <c r="W27" i="6"/>
  <c r="V27" i="6"/>
  <c r="U27" i="6"/>
  <c r="T27" i="6"/>
  <c r="S27" i="6"/>
  <c r="R27" i="6"/>
  <c r="Q27" i="6"/>
  <c r="P27" i="6"/>
  <c r="O27" i="6"/>
  <c r="N27" i="6"/>
  <c r="M27" i="6"/>
  <c r="L27" i="6"/>
  <c r="K27" i="6"/>
  <c r="J27" i="6"/>
  <c r="I27" i="6"/>
  <c r="H27" i="6"/>
  <c r="G27" i="6"/>
  <c r="F27" i="6"/>
  <c r="E27" i="6"/>
  <c r="D27" i="6"/>
  <c r="C27" i="6"/>
  <c r="B27" i="6"/>
  <c r="W29" i="6"/>
  <c r="V29" i="6"/>
  <c r="U29" i="6"/>
  <c r="T29" i="6"/>
  <c r="S29" i="6"/>
  <c r="R29" i="6"/>
  <c r="Q29" i="6"/>
  <c r="P29" i="6"/>
  <c r="O29" i="6"/>
  <c r="N29" i="6"/>
  <c r="M29" i="6"/>
  <c r="L29" i="6"/>
  <c r="K29" i="6"/>
  <c r="J29" i="6"/>
  <c r="I29" i="6"/>
  <c r="H29" i="6"/>
  <c r="G29" i="6"/>
  <c r="F29" i="6"/>
  <c r="E29" i="6"/>
  <c r="D29" i="6"/>
  <c r="C29" i="6"/>
  <c r="B29" i="6"/>
  <c r="W31" i="6"/>
  <c r="V31" i="6"/>
  <c r="U31" i="6"/>
  <c r="T31" i="6"/>
  <c r="S31" i="6"/>
  <c r="R31" i="6"/>
  <c r="Q31" i="6"/>
  <c r="P31" i="6"/>
  <c r="O31" i="6"/>
  <c r="N31" i="6"/>
  <c r="M31" i="6"/>
  <c r="L31" i="6"/>
  <c r="K31" i="6"/>
  <c r="J31" i="6"/>
  <c r="I31" i="6"/>
  <c r="H31" i="6"/>
  <c r="G31" i="6"/>
  <c r="F31" i="6"/>
  <c r="E31" i="6"/>
  <c r="D31" i="6"/>
  <c r="C31" i="6"/>
  <c r="B31" i="6"/>
  <c r="W30" i="6"/>
  <c r="V30" i="6"/>
  <c r="U30" i="6"/>
  <c r="T30" i="6"/>
  <c r="S30" i="6"/>
  <c r="R30" i="6"/>
  <c r="Q30" i="6"/>
  <c r="P30" i="6"/>
  <c r="O30" i="6"/>
  <c r="N30" i="6"/>
  <c r="M30" i="6"/>
  <c r="L30" i="6"/>
  <c r="K30" i="6"/>
  <c r="J30" i="6"/>
  <c r="I30" i="6"/>
  <c r="H30" i="6"/>
  <c r="G30" i="6"/>
  <c r="F30" i="6"/>
  <c r="E30" i="6"/>
  <c r="D30" i="6"/>
  <c r="C30" i="6"/>
  <c r="B30" i="6"/>
  <c r="W28" i="6"/>
  <c r="V28" i="6"/>
  <c r="U28" i="6"/>
  <c r="T28" i="6"/>
  <c r="S28" i="6"/>
  <c r="R28" i="6"/>
  <c r="Q28" i="6"/>
  <c r="P28" i="6"/>
  <c r="O28" i="6"/>
  <c r="N28" i="6"/>
  <c r="M28" i="6"/>
  <c r="L28" i="6"/>
  <c r="K28" i="6"/>
  <c r="J28" i="6"/>
  <c r="I28" i="6"/>
  <c r="H28" i="6"/>
  <c r="G28" i="6"/>
  <c r="F28" i="6"/>
  <c r="E28" i="6"/>
  <c r="D28" i="6"/>
  <c r="C28" i="6"/>
  <c r="B28" i="6"/>
  <c r="W6" i="6"/>
  <c r="V6" i="6"/>
  <c r="U6" i="6"/>
  <c r="T6" i="6"/>
  <c r="S6" i="6"/>
  <c r="R6" i="6"/>
  <c r="Q6" i="6"/>
  <c r="P6" i="6"/>
  <c r="O6" i="6"/>
  <c r="N6" i="6"/>
  <c r="M6" i="6"/>
  <c r="L6" i="6"/>
  <c r="K6" i="6"/>
  <c r="J6" i="6"/>
  <c r="I6" i="6"/>
  <c r="H6" i="6"/>
  <c r="G6" i="6"/>
  <c r="F6" i="6"/>
  <c r="E6" i="6"/>
  <c r="D6" i="6"/>
  <c r="C6" i="6"/>
  <c r="B6" i="6"/>
  <c r="W24" i="6"/>
  <c r="V24" i="6"/>
  <c r="U24" i="6"/>
  <c r="T24" i="6"/>
  <c r="S24" i="6"/>
  <c r="R24" i="6"/>
  <c r="Q24" i="6"/>
  <c r="P24" i="6"/>
  <c r="O24" i="6"/>
  <c r="N24" i="6"/>
  <c r="M24" i="6"/>
  <c r="L24" i="6"/>
  <c r="K24" i="6"/>
  <c r="J24" i="6"/>
  <c r="I24" i="6"/>
  <c r="H24" i="6"/>
  <c r="G24" i="6"/>
  <c r="F24" i="6"/>
  <c r="E24" i="6"/>
  <c r="D24" i="6"/>
  <c r="C24" i="6"/>
  <c r="B24" i="6"/>
  <c r="W5" i="6"/>
  <c r="V5" i="6"/>
  <c r="U5" i="6"/>
  <c r="T5" i="6"/>
  <c r="S5" i="6"/>
  <c r="R5" i="6"/>
  <c r="Q5" i="6"/>
  <c r="P5" i="6"/>
  <c r="O5" i="6"/>
  <c r="N5" i="6"/>
  <c r="M5" i="6"/>
  <c r="L5" i="6"/>
  <c r="K5" i="6"/>
  <c r="J5" i="6"/>
  <c r="I5" i="6"/>
  <c r="H5" i="6"/>
  <c r="G5" i="6"/>
  <c r="F5" i="6"/>
  <c r="E5" i="6"/>
  <c r="D5" i="6"/>
  <c r="C5" i="6"/>
  <c r="B5" i="6"/>
  <c r="W13" i="6"/>
  <c r="V13" i="6"/>
  <c r="U13" i="6"/>
  <c r="T13" i="6"/>
  <c r="S13" i="6"/>
  <c r="R13" i="6"/>
  <c r="Q13" i="6"/>
  <c r="P13" i="6"/>
  <c r="O13" i="6"/>
  <c r="N13" i="6"/>
  <c r="M13" i="6"/>
  <c r="L13" i="6"/>
  <c r="K13" i="6"/>
  <c r="J13" i="6"/>
  <c r="I13" i="6"/>
  <c r="H13" i="6"/>
  <c r="G13" i="6"/>
  <c r="F13" i="6"/>
  <c r="E13" i="6"/>
  <c r="D13" i="6"/>
  <c r="C13" i="6"/>
  <c r="B13" i="6"/>
  <c r="W22" i="6"/>
  <c r="V22" i="6"/>
  <c r="U22" i="6"/>
  <c r="T22" i="6"/>
  <c r="S22" i="6"/>
  <c r="R22" i="6"/>
  <c r="Q22" i="6"/>
  <c r="P22" i="6"/>
  <c r="O22" i="6"/>
  <c r="N22" i="6"/>
  <c r="M22" i="6"/>
  <c r="L22" i="6"/>
  <c r="K22" i="6"/>
  <c r="J22" i="6"/>
  <c r="I22" i="6"/>
  <c r="H22" i="6"/>
  <c r="G22" i="6"/>
  <c r="F22" i="6"/>
  <c r="E22" i="6"/>
  <c r="D22" i="6"/>
  <c r="C22" i="6"/>
  <c r="B22" i="6"/>
  <c r="W23" i="6"/>
  <c r="V23" i="6"/>
  <c r="U23" i="6"/>
  <c r="T23" i="6"/>
  <c r="S23" i="6"/>
  <c r="R23" i="6"/>
  <c r="Q23" i="6"/>
  <c r="P23" i="6"/>
  <c r="O23" i="6"/>
  <c r="N23" i="6"/>
  <c r="M23" i="6"/>
  <c r="L23" i="6"/>
  <c r="K23" i="6"/>
  <c r="J23" i="6"/>
  <c r="I23" i="6"/>
  <c r="H23" i="6"/>
  <c r="G23" i="6"/>
  <c r="F23" i="6"/>
  <c r="E23" i="6"/>
  <c r="D23" i="6"/>
  <c r="C23" i="6"/>
  <c r="B23" i="6"/>
  <c r="W12" i="6"/>
  <c r="V12" i="6"/>
  <c r="U12" i="6"/>
  <c r="T12" i="6"/>
  <c r="S12" i="6"/>
  <c r="R12" i="6"/>
  <c r="Q12" i="6"/>
  <c r="P12" i="6"/>
  <c r="O12" i="6"/>
  <c r="N12" i="6"/>
  <c r="M12" i="6"/>
  <c r="L12" i="6"/>
  <c r="K12" i="6"/>
  <c r="J12" i="6"/>
  <c r="I12" i="6"/>
  <c r="H12" i="6"/>
  <c r="G12" i="6"/>
  <c r="F12" i="6"/>
  <c r="E12" i="6"/>
  <c r="D12" i="6"/>
  <c r="C12" i="6"/>
  <c r="B12" i="6"/>
  <c r="W15" i="6"/>
  <c r="V15" i="6"/>
  <c r="U15" i="6"/>
  <c r="T15" i="6"/>
  <c r="S15" i="6"/>
  <c r="R15" i="6"/>
  <c r="Q15" i="6"/>
  <c r="P15" i="6"/>
  <c r="O15" i="6"/>
  <c r="N15" i="6"/>
  <c r="M15" i="6"/>
  <c r="L15" i="6"/>
  <c r="K15" i="6"/>
  <c r="J15" i="6"/>
  <c r="I15" i="6"/>
  <c r="H15" i="6"/>
  <c r="G15" i="6"/>
  <c r="F15" i="6"/>
  <c r="E15" i="6"/>
  <c r="D15" i="6"/>
  <c r="C15" i="6"/>
  <c r="B15" i="6"/>
  <c r="W21" i="6"/>
  <c r="V21" i="6"/>
  <c r="U21" i="6"/>
  <c r="T21" i="6"/>
  <c r="S21" i="6"/>
  <c r="R21" i="6"/>
  <c r="Q21" i="6"/>
  <c r="P21" i="6"/>
  <c r="O21" i="6"/>
  <c r="N21" i="6"/>
  <c r="M21" i="6"/>
  <c r="L21" i="6"/>
  <c r="K21" i="6"/>
  <c r="J21" i="6"/>
  <c r="I21" i="6"/>
  <c r="H21" i="6"/>
  <c r="G21" i="6"/>
  <c r="F21" i="6"/>
  <c r="E21" i="6"/>
  <c r="D21" i="6"/>
  <c r="C21" i="6"/>
  <c r="B21" i="6"/>
  <c r="W4" i="6"/>
  <c r="V4" i="6"/>
  <c r="U4" i="6"/>
  <c r="T4" i="6"/>
  <c r="S4" i="6"/>
  <c r="R4" i="6"/>
  <c r="Q4" i="6"/>
  <c r="P4" i="6"/>
  <c r="O4" i="6"/>
  <c r="N4" i="6"/>
  <c r="M4" i="6"/>
  <c r="L4" i="6"/>
  <c r="K4" i="6"/>
  <c r="J4" i="6"/>
  <c r="I4" i="6"/>
  <c r="H4" i="6"/>
  <c r="G4" i="6"/>
  <c r="F4" i="6"/>
  <c r="E4" i="6"/>
  <c r="D4" i="6"/>
  <c r="C4" i="6"/>
  <c r="B4" i="6"/>
  <c r="W20" i="6"/>
  <c r="V20" i="6"/>
  <c r="U20" i="6"/>
  <c r="T20" i="6"/>
  <c r="S20" i="6"/>
  <c r="R20" i="6"/>
  <c r="Q20" i="6"/>
  <c r="P20" i="6"/>
  <c r="O20" i="6"/>
  <c r="N20" i="6"/>
  <c r="M20" i="6"/>
  <c r="L20" i="6"/>
  <c r="K20" i="6"/>
  <c r="J20" i="6"/>
  <c r="I20" i="6"/>
  <c r="H20" i="6"/>
  <c r="G20" i="6"/>
  <c r="F20" i="6"/>
  <c r="E20" i="6"/>
  <c r="D20" i="6"/>
  <c r="C20" i="6"/>
  <c r="B20" i="6"/>
  <c r="W2" i="6"/>
  <c r="V2" i="6"/>
  <c r="U2" i="6"/>
  <c r="T2" i="6"/>
  <c r="S2" i="6"/>
  <c r="R2" i="6"/>
  <c r="Q2" i="6"/>
  <c r="P2" i="6"/>
  <c r="O2" i="6"/>
  <c r="N2" i="6"/>
  <c r="M2" i="6"/>
  <c r="L2" i="6"/>
  <c r="K2" i="6"/>
  <c r="J2" i="6"/>
  <c r="I2" i="6"/>
  <c r="H2" i="6"/>
  <c r="G2" i="6"/>
  <c r="F2" i="6"/>
  <c r="E2" i="6"/>
  <c r="D2" i="6"/>
  <c r="C2" i="6"/>
  <c r="B2" i="6"/>
  <c r="W10" i="6"/>
  <c r="V10" i="6"/>
  <c r="U10" i="6"/>
  <c r="T10" i="6"/>
  <c r="S10" i="6"/>
  <c r="R10" i="6"/>
  <c r="Q10" i="6"/>
  <c r="P10" i="6"/>
  <c r="O10" i="6"/>
  <c r="N10" i="6"/>
  <c r="M10" i="6"/>
  <c r="L10" i="6"/>
  <c r="K10" i="6"/>
  <c r="J10" i="6"/>
  <c r="I10" i="6"/>
  <c r="H10" i="6"/>
  <c r="G10" i="6"/>
  <c r="F10" i="6"/>
  <c r="E10" i="6"/>
  <c r="D10" i="6"/>
  <c r="C10" i="6"/>
  <c r="B10" i="6"/>
  <c r="W37" i="6"/>
  <c r="V37" i="6"/>
  <c r="U37" i="6"/>
  <c r="T37" i="6"/>
  <c r="S37" i="6"/>
  <c r="R37" i="6"/>
  <c r="Q37" i="6"/>
  <c r="P37" i="6"/>
  <c r="O37" i="6"/>
  <c r="N37" i="6"/>
  <c r="M37" i="6"/>
  <c r="L37" i="6"/>
  <c r="K37" i="6"/>
  <c r="J37" i="6"/>
  <c r="I37" i="6"/>
  <c r="H37" i="6"/>
  <c r="G37" i="6"/>
  <c r="F37" i="6"/>
  <c r="E37" i="6"/>
  <c r="D37" i="6"/>
  <c r="C37" i="6"/>
  <c r="B37" i="6"/>
  <c r="W35" i="6"/>
  <c r="V35" i="6"/>
  <c r="U35" i="6"/>
  <c r="T35" i="6"/>
  <c r="S35" i="6"/>
  <c r="R35" i="6"/>
  <c r="Q35" i="6"/>
  <c r="P35" i="6"/>
  <c r="O35" i="6"/>
  <c r="N35" i="6"/>
  <c r="M35" i="6"/>
  <c r="L35" i="6"/>
  <c r="K35" i="6"/>
  <c r="J35" i="6"/>
  <c r="I35" i="6"/>
  <c r="H35" i="6"/>
  <c r="G35" i="6"/>
  <c r="F35" i="6"/>
  <c r="E35" i="6"/>
  <c r="D35" i="6"/>
  <c r="C35" i="6"/>
  <c r="B35" i="6"/>
  <c r="W11" i="6"/>
  <c r="V11" i="6"/>
  <c r="U11" i="6"/>
  <c r="T11" i="6"/>
  <c r="S11" i="6"/>
  <c r="R11" i="6"/>
  <c r="Q11" i="6"/>
  <c r="P11" i="6"/>
  <c r="O11" i="6"/>
  <c r="N11" i="6"/>
  <c r="M11" i="6"/>
  <c r="L11" i="6"/>
  <c r="K11" i="6"/>
  <c r="J11" i="6"/>
  <c r="I11" i="6"/>
  <c r="H11" i="6"/>
  <c r="G11" i="6"/>
  <c r="F11" i="6"/>
  <c r="E11" i="6"/>
  <c r="D11" i="6"/>
  <c r="C11" i="6"/>
  <c r="W2" i="5"/>
  <c r="W3" i="5"/>
  <c r="W4" i="5"/>
  <c r="W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V2" i="5"/>
  <c r="V3" i="5"/>
  <c r="V4" i="5"/>
  <c r="V5" i="5"/>
  <c r="V6" i="5"/>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U2" i="5"/>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T2" i="5"/>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S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R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E3" i="5"/>
  <c r="E2"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B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H39" i="3"/>
  <c r="I39" i="3"/>
  <c r="F39" i="3"/>
  <c r="G39" i="3"/>
  <c r="E3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FF7BDE-03A0-478F-9EC0-08B9D926765A}" keepAlive="1" name="Abfrage - Exportierte Einträge" description="Verbindung mit der Abfrage 'Exportierte Einträge' in der Arbeitsmappe." type="5" refreshedVersion="8" background="1" saveData="1">
    <dbPr connection="Provider=Microsoft.Mashup.OleDb.1;Data Source=$Workbook$;Location=&quot;Exportierte Einträge&quot;;Extended Properties=&quot;&quot;" command="SELECT * FROM [Exportierte Einträge]"/>
  </connection>
  <connection id="2" xr16:uid="{F9B85DA2-B925-4A56-991B-49E3852E6779}" keepAlive="1" name="Abfrage - Exportierte Einträge (2)" description="Verbindung mit der Abfrage 'Exportierte Einträge (2)' in der Arbeitsmappe." type="5" refreshedVersion="8" background="1" saveData="1">
    <dbPr connection="Provider=Microsoft.Mashup.OleDb.1;Data Source=$Workbook$;Location=&quot;Exportierte Einträge (2)&quot;;Extended Properties=&quot;&quot;" command="SELECT * FROM [Exportierte Einträge (2)]"/>
  </connection>
  <connection id="3" xr16:uid="{B39255E5-646D-4FCB-8E3B-243245810551}" keepAlive="1" name="Abfrage - Exportierte Einträge (3)" description="Verbindung mit der Abfrage 'Exportierte Einträge (3)' in der Arbeitsmappe." type="5" refreshedVersion="8" background="1" saveData="1">
    <dbPr connection="Provider=Microsoft.Mashup.OleDb.1;Data Source=$Workbook$;Location=&quot;Exportierte Einträge (3)&quot;;Extended Properties=&quot;&quot;" command="SELECT * FROM [Exportierte Einträge (3)]"/>
  </connection>
  <connection id="4" xr16:uid="{F764617F-FFED-4E51-BF7E-6407F7B1256D}" keepAlive="1" name="Abfrage - unique" description="Verbindung mit der Abfrage 'unique' in der Arbeitsmappe." type="5" refreshedVersion="8" background="1" saveData="1">
    <dbPr connection="Provider=Microsoft.Mashup.OleDb.1;Data Source=$Workbook$;Location=unique;Extended Properties=&quot;&quot;" command="SELECT * FROM [unique]"/>
  </connection>
</connections>
</file>

<file path=xl/sharedStrings.xml><?xml version="1.0" encoding="utf-8"?>
<sst xmlns="http://schemas.openxmlformats.org/spreadsheetml/2006/main" count="16811" uniqueCount="6167">
  <si>
    <t>Research Goal</t>
  </si>
  <si>
    <t>Purpose</t>
  </si>
  <si>
    <t>Issue</t>
  </si>
  <si>
    <t>Object</t>
  </si>
  <si>
    <t>Viewpoint</t>
  </si>
  <si>
    <t>from the point of view of researchers</t>
  </si>
  <si>
    <t>Based on:</t>
  </si>
  <si>
    <r>
      <rPr>
        <i/>
        <sz val="10"/>
        <color rgb="FF222222"/>
        <rFont val="Arial, sans-serif"/>
      </rPr>
      <t xml:space="preserve">Caldiera, V. R. B. G., &amp; Rombach, H. D. (1994). </t>
    </r>
    <r>
      <rPr>
        <b/>
        <i/>
        <sz val="10"/>
        <color rgb="FF222222"/>
        <rFont val="Arial, sans-serif"/>
      </rPr>
      <t>The goal question metric approach</t>
    </r>
    <r>
      <rPr>
        <i/>
        <sz val="10"/>
        <color rgb="FF222222"/>
        <rFont val="Arial, sans-serif"/>
      </rPr>
      <t>. Encyclopedia of software engineering, 528-532.</t>
    </r>
  </si>
  <si>
    <t>RQ1</t>
  </si>
  <si>
    <t>RQ2</t>
  </si>
  <si>
    <t>RQ3</t>
  </si>
  <si>
    <t>RQ4</t>
  </si>
  <si>
    <t>RQ5</t>
  </si>
  <si>
    <t>ID</t>
  </si>
  <si>
    <t>IEEExplore</t>
  </si>
  <si>
    <t>ACM</t>
  </si>
  <si>
    <t>Springer</t>
  </si>
  <si>
    <t>DBLP</t>
  </si>
  <si>
    <t>Google Scholar</t>
  </si>
  <si>
    <t>SS1</t>
  </si>
  <si>
    <t>SS2</t>
  </si>
  <si>
    <t>SS3</t>
  </si>
  <si>
    <t>SS4</t>
  </si>
  <si>
    <t>SS5</t>
  </si>
  <si>
    <t>SS6</t>
  </si>
  <si>
    <t>SS7</t>
  </si>
  <si>
    <t>SS8</t>
  </si>
  <si>
    <t>SS9</t>
  </si>
  <si>
    <t>SS10</t>
  </si>
  <si>
    <t>SS11</t>
  </si>
  <si>
    <t>AI</t>
  </si>
  <si>
    <t>AND</t>
  </si>
  <si>
    <t>Domain Modeling</t>
  </si>
  <si>
    <t>MDE</t>
  </si>
  <si>
    <t>Model-Driven Engineering</t>
  </si>
  <si>
    <t>DSL</t>
  </si>
  <si>
    <t>Domain Specific Language</t>
  </si>
  <si>
    <t>Metamodeling</t>
  </si>
  <si>
    <t>Artificial Intelligence</t>
  </si>
  <si>
    <t>ML</t>
  </si>
  <si>
    <t>Machine Learning</t>
  </si>
  <si>
    <t>Deep Learning</t>
  </si>
  <si>
    <t>Intelligence</t>
  </si>
  <si>
    <t>Part 1</t>
  </si>
  <si>
    <t>Part 2</t>
  </si>
  <si>
    <t>SS12</t>
  </si>
  <si>
    <t>SS13</t>
  </si>
  <si>
    <t>SS14</t>
  </si>
  <si>
    <t>SS15</t>
  </si>
  <si>
    <t>SS16</t>
  </si>
  <si>
    <t>SS17</t>
  </si>
  <si>
    <t>SS18</t>
  </si>
  <si>
    <t>SS19</t>
  </si>
  <si>
    <t>SS20</t>
  </si>
  <si>
    <t>SS21</t>
  </si>
  <si>
    <t>SS22</t>
  </si>
  <si>
    <t>SS23</t>
  </si>
  <si>
    <t>SS24</t>
  </si>
  <si>
    <t>SS25</t>
  </si>
  <si>
    <t>SS26</t>
  </si>
  <si>
    <t>SS27</t>
  </si>
  <si>
    <t>SS28</t>
  </si>
  <si>
    <t>SS29</t>
  </si>
  <si>
    <t>SS30</t>
  </si>
  <si>
    <t>SS31</t>
  </si>
  <si>
    <t>SS32</t>
  </si>
  <si>
    <t>SS33</t>
  </si>
  <si>
    <t>SS34</t>
  </si>
  <si>
    <t>SS35</t>
  </si>
  <si>
    <t>SS36</t>
  </si>
  <si>
    <t>Databases Nr. of results</t>
  </si>
  <si>
    <t>Unique:</t>
  </si>
  <si>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</si>
  <si>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</si>
  <si>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</si>
  <si>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</si>
  <si>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</si>
  <si>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</si>
  <si>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</si>
  <si>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</si>
  <si>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</si>
  <si>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</si>
  <si>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</si>
  <si>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</si>
  <si>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</si>
  <si>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</si>
  <si>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</si>
  <si>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</si>
  <si>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</si>
  <si>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Volume</t>
  </si>
  <si>
    <t>Series</t>
  </si>
  <si>
    <t>Publisher</t>
  </si>
  <si>
    <t>Place</t>
  </si>
  <si>
    <t>Extra</t>
  </si>
  <si>
    <t>conferencePaper</t>
  </si>
  <si>
    <t>Mülders, Peter; Gruner, Stefan; Thang, Nguyen Xuan</t>
  </si>
  <si>
    <t>Model-Driven Design plus Artificial Intelligence for Wireless Sensor Networks Software Development</t>
  </si>
  <si>
    <t>Proceedings of the 2nd Workshop on Software Engineering for Sensor Network Applications</t>
  </si>
  <si>
    <t>978-1-4503-0583-9</t>
  </si>
  <si>
    <t/>
  </si>
  <si>
    <t>10.1145/1988051.1988065</t>
  </si>
  <si>
    <t>https://doi.org/10.1145/1988051.1988065</t>
  </si>
  <si>
    <t>2011</t>
  </si>
  <si>
    <t>63–64</t>
  </si>
  <si>
    <t>Association for Computing Machinery</t>
  </si>
  <si>
    <t>New York, NY, USA</t>
  </si>
  <si>
    <t>event-place: Waikiki, Honolulu, HI, USA</t>
  </si>
  <si>
    <t>Burgueño, Loli; Burdusel, Alexandru; Gérard, Sébastien; Wimmer, Manuel</t>
  </si>
  <si>
    <t>MDE Intelligence 2019: 1st Workshop on Artificial Intelligence and Model-Driven Engineering</t>
  </si>
  <si>
    <t>Proceedings of the 22nd International Conference on Model Driven Engineering Languages and Systems</t>
  </si>
  <si>
    <t>978-1-72815-125-0</t>
  </si>
  <si>
    <t>10.1109/MODELS-C.2019.00028</t>
  </si>
  <si>
    <t>https://doi.org/10.1109/MODELS-C.2019.00028</t>
  </si>
  <si>
    <t>2021</t>
  </si>
  <si>
    <t>168–169</t>
  </si>
  <si>
    <t>IEEE Press</t>
  </si>
  <si>
    <t>event-place: Munich, Germany</t>
  </si>
  <si>
    <t>Bergelin, Johan; Strandberg, Per Erik</t>
  </si>
  <si>
    <t>Industrial Requirements for Supporting AI-Enhanced Model-Driven Engineering</t>
  </si>
  <si>
    <t>Proceedings of the 25th International Conference on Model Driven Engineering Languages and Systems: Companion Proceedings</t>
  </si>
  <si>
    <t>978-1-4503-9467-3</t>
  </si>
  <si>
    <t>10.1145/3550356.3561609</t>
  </si>
  <si>
    <t>https://doi.org/10.1145/3550356.3561609</t>
  </si>
  <si>
    <t>2022</t>
  </si>
  <si>
    <t>375–379</t>
  </si>
  <si>
    <t>event-place: Montreal, Quebec, Canada</t>
  </si>
  <si>
    <t>Lortal, Gaëlle; Dhouib, Saadia; Gérard, Sébastien</t>
  </si>
  <si>
    <t>Integrating Ontological Domain Knowledge into a Robotic DSL</t>
  </si>
  <si>
    <t>Proceedings of the 2010 International Conference on Models in Software Engineering</t>
  </si>
  <si>
    <t>978-3-642-21209-3</t>
  </si>
  <si>
    <t>2010</t>
  </si>
  <si>
    <t>401–414</t>
  </si>
  <si>
    <t>Springer-Verlag</t>
  </si>
  <si>
    <t>Berlin, Heidelberg</t>
  </si>
  <si>
    <t>event-place: Oslo, Norway</t>
  </si>
  <si>
    <t>journalArticle</t>
  </si>
  <si>
    <t>Hastjarjanto, Tom; Jeuring, Johan; Leather, Sean</t>
  </si>
  <si>
    <t>A DSL for Describing the Artificial Intelligence in Real-Time Video Games</t>
  </si>
  <si>
    <t>Proceedings of the 3rd International Workshop on Games and Software Engineering: Engineering Computer Games to Enable Positive, Progressive Change</t>
  </si>
  <si>
    <t>2013</t>
  </si>
  <si>
    <t>8–14</t>
  </si>
  <si>
    <t>event-place: San Francisco, California</t>
  </si>
  <si>
    <t>Hurnaus, Dominik; Prähofer, Herbert</t>
  </si>
  <si>
    <t>Programming Assistance Based on Contracts and Modular Verification in the Automation Domain</t>
  </si>
  <si>
    <t>Proceedings of the 2010 ACM Symposium on Applied Computing</t>
  </si>
  <si>
    <t>978-1-60558-639-7</t>
  </si>
  <si>
    <t>10.1145/1774088.1774614</t>
  </si>
  <si>
    <t>https://doi.org/10.1145/1774088.1774614</t>
  </si>
  <si>
    <t>2544–2551</t>
  </si>
  <si>
    <t>event-place: Sierre, Switzerland</t>
  </si>
  <si>
    <t>Mangels, Tatiana; Murarasu, Alin; Oden, Forest; Fishkin, Alexey; Becker, Daniel</t>
  </si>
  <si>
    <t>Efficient Analysis at Edge</t>
  </si>
  <si>
    <t>Proceedings of the 8th ACM/SPEC on International Conference on Performance Engineering Companion</t>
  </si>
  <si>
    <t>978-1-4503-4899-7</t>
  </si>
  <si>
    <t>10.1145/3053600.3053619</t>
  </si>
  <si>
    <t>https://doi.org/10.1145/3053600.3053619</t>
  </si>
  <si>
    <t>2017</t>
  </si>
  <si>
    <t>85–90</t>
  </si>
  <si>
    <t>event-place: L'Aquila, Italy</t>
  </si>
  <si>
    <t>Frantz, Frederick K.</t>
  </si>
  <si>
    <t>A Taxonomy of Model Abstraction Techniques</t>
  </si>
  <si>
    <t>Proceedings of the 27th Conference on Winter Simulation</t>
  </si>
  <si>
    <t>0-7803-3018-8</t>
  </si>
  <si>
    <t>10.1145/224401.224834</t>
  </si>
  <si>
    <t>https://doi.org/10.1145/224401.224834</t>
  </si>
  <si>
    <t>1995</t>
  </si>
  <si>
    <t>1413–1420</t>
  </si>
  <si>
    <t>IEEE Computer Society</t>
  </si>
  <si>
    <t>USA</t>
  </si>
  <si>
    <t>event-place: Arlington, Virginia, USA</t>
  </si>
  <si>
    <t>Saini, Rijul</t>
  </si>
  <si>
    <t>Artificial Intelligence Empowered Domain Modelling Bot</t>
  </si>
  <si>
    <t>Proceedings of the 23rd ACM/IEEE International Conference on Model Driven Engineering Languages and Systems: Companion Proceedings</t>
  </si>
  <si>
    <t>978-1-4503-8135-2</t>
  </si>
  <si>
    <t>10.1145/3417990.3419486</t>
  </si>
  <si>
    <t>https://doi.org/10.1145/3417990.3419486</t>
  </si>
  <si>
    <t>2020</t>
  </si>
  <si>
    <t>event-place: Virtual Event, Canada</t>
  </si>
  <si>
    <t>Malyankar, R. M.; Baddam, A.</t>
  </si>
  <si>
    <t>XML Schemas from Computational Ontologies</t>
  </si>
  <si>
    <t>Proceedings of the 2003 Annual National Conference on Digital Government Research</t>
  </si>
  <si>
    <t>2003</t>
  </si>
  <si>
    <t>1</t>
  </si>
  <si>
    <t>Digital Government Society of North America</t>
  </si>
  <si>
    <t>event-place: Boston, MA, USA</t>
  </si>
  <si>
    <t>López, José Antonio Hernández; Izquierdo, Javier Luis Cánovas; Cuadrado, Jesús Sánchez</t>
  </si>
  <si>
    <t>Using the ModelSet Dataset to Support Machine Learning in Model-Driven Engineering</t>
  </si>
  <si>
    <t>10.1145/3550356.3559096</t>
  </si>
  <si>
    <t>https://doi.org/10.1145/3550356.3559096</t>
  </si>
  <si>
    <t>66–70</t>
  </si>
  <si>
    <t>Kirchhof, Jörg Christian; Kusmenko, Evgeny; Ritz, Jonas; Rumpe, Bernhard; Moin, Armin; Badii, Atta; Günnemann, Stephan; Challenger, Moharram</t>
  </si>
  <si>
    <t>MDE for Machine Learning-Enabled Software Systems: A Case Study and Comparison of MontiAnna &amp;amp; ML-Quadrat</t>
  </si>
  <si>
    <t>10.1145/3550356.3561576</t>
  </si>
  <si>
    <t>https://doi.org/10.1145/3550356.3561576</t>
  </si>
  <si>
    <t>380–387</t>
  </si>
  <si>
    <t>Ciccozzi, Federico</t>
  </si>
  <si>
    <t>From Models to Code and Back: Correct-by-Construction Code from UML and ALF</t>
  </si>
  <si>
    <t>Proceedings of the 2013 International Conference on Software Engineering</t>
  </si>
  <si>
    <t>978-1-4673-3076-3</t>
  </si>
  <si>
    <t>1459–1461</t>
  </si>
  <si>
    <t>event-place: San Francisco, CA, USA</t>
  </si>
  <si>
    <t>d'Aloisio, Giordano</t>
  </si>
  <si>
    <t>Quality-Driven Machine Learning-Based Data Science Pipeline Realization: A Software Engineering Approach</t>
  </si>
  <si>
    <t>Proceedings of the ACM/IEEE 44th International Conference on Software Engineering: Companion Proceedings</t>
  </si>
  <si>
    <t>978-1-4503-9223-5</t>
  </si>
  <si>
    <t>10.1145/3510454.3517067</t>
  </si>
  <si>
    <t>https://doi.org/10.1145/3510454.3517067</t>
  </si>
  <si>
    <t>291–293</t>
  </si>
  <si>
    <t>event-place: Pittsburgh, Pennsylvania</t>
  </si>
  <si>
    <t>Podobas, Artur; Svedin, Martin; Chien, Steven W. D.; Peng, Ivy B.; Ravichandran, Naresh Balaji; Herman, Pawel; Lansner, Anders; Markidis, Stefano</t>
  </si>
  <si>
    <t>StreamBrain: An HPC Framework for Brain-like Neural Networks on CPUs, GPUs and FPGAs</t>
  </si>
  <si>
    <t>Proceedings of the 11th International Symposium on Highly Efficient Accelerators and Reconfigurable Technologies</t>
  </si>
  <si>
    <t>978-1-4503-8549-7</t>
  </si>
  <si>
    <t>10.1145/3468044.3468052</t>
  </si>
  <si>
    <t>https://doi.org/10.1145/3468044.3468052</t>
  </si>
  <si>
    <t>Park, Jongse; Sharma, Hardik; Mahajan, Divya; Kim, Joon Kyung; Olds, Preston; Esmaeilzadeh, Hadi</t>
  </si>
  <si>
    <t>Scale-out Acceleration for Machine Learning</t>
  </si>
  <si>
    <t>Proceedings of the 50th Annual IEEE/ACM International Symposium on Microarchitecture</t>
  </si>
  <si>
    <t>978-1-4503-4952-9</t>
  </si>
  <si>
    <t>10.1145/3123939.3123979</t>
  </si>
  <si>
    <t>https://doi.org/10.1145/3123939.3123979</t>
  </si>
  <si>
    <t>367–381</t>
  </si>
  <si>
    <t>bookSection</t>
  </si>
  <si>
    <t>Preface</t>
  </si>
  <si>
    <t>Intelligent Computing for Interactive System Design: Statistics, Digital Signal Processing, and Machine Learning in Practice</t>
  </si>
  <si>
    <t>978-1-4503-9029-3</t>
  </si>
  <si>
    <t>https://doi.org/10.1145/3447404.3447405</t>
  </si>
  <si>
    <t>xv–xvi</t>
  </si>
  <si>
    <t>Mahajan, Divya; Kim, Joon Kyung; Sacks, Jacob; Ardalan, Adel; Kumar, Arun; Esmaeilzadeh, Hadi</t>
  </si>
  <si>
    <t>In-RDBMS Hardware Acceleration of Advanced Analytics</t>
  </si>
  <si>
    <t>Proc. VLDB Endow.</t>
  </si>
  <si>
    <t>2150-8097</t>
  </si>
  <si>
    <t>10.14778/3236187.3236188</t>
  </si>
  <si>
    <t>https://doi.org/10.14778/3236187.3236188</t>
  </si>
  <si>
    <t>2018-07</t>
  </si>
  <si>
    <t>1317–1331</t>
  </si>
  <si>
    <t>11</t>
  </si>
  <si>
    <t>Publisher: VLDB Endowment</t>
  </si>
  <si>
    <t>Poroor, Jayaraj; Lal, Akash; Ghanta, Sandesh</t>
  </si>
  <si>
    <t>Robust I/O-Compute Concurrency for Machine Learning Pipelines in Constrained Cyber-Physical Devices</t>
  </si>
  <si>
    <t>Proceedings of the 22nd ACM SIGPLAN/SIGBED International Conference on Languages, Compilers, and Tools for Embedded Systems</t>
  </si>
  <si>
    <t>978-1-4503-8472-8</t>
  </si>
  <si>
    <t>10.1145/3461648.3463842</t>
  </si>
  <si>
    <t>https://doi.org/10.1145/3461648.3463842</t>
  </si>
  <si>
    <t>1–11</t>
  </si>
  <si>
    <t>Boehm, Matthias; Dusenberry, Michael W.; Eriksson, Deron; Evfimievski, Alexandre V.; Manshadi, Faraz Makari; Pansare, Niketan; Reinwald, Berthold; Reiss, Frederick R.; Sen, Prithviraj; Surve, Arvind C.; Tatikonda, Shirish</t>
  </si>
  <si>
    <t>SystemML: Declarative Machine Learning on Spark</t>
  </si>
  <si>
    <t>10.14778/3007263.3007279</t>
  </si>
  <si>
    <t>https://doi.org/10.14778/3007263.3007279</t>
  </si>
  <si>
    <t>2016-09</t>
  </si>
  <si>
    <t>1425–1436</t>
  </si>
  <si>
    <t>13</t>
  </si>
  <si>
    <t>Alves, Lucas; Pereira, José Davi; Aragão, Natália; Chagas, Matheus; Maia, Paulo Henrique</t>
  </si>
  <si>
    <t>DRESS-ML: A Domain-Specific Language for Modelling Exceptional Scenarios and Self-Adaptive Behaviours for Drone-Based Applications</t>
  </si>
  <si>
    <t>Proceedings of the 2022 ACM/IEEE 44th International Conference on Software Engineering: Software Engineering in Society</t>
  </si>
  <si>
    <t>978-1-4503-9227-3</t>
  </si>
  <si>
    <t>10.1145/3510458.3513012</t>
  </si>
  <si>
    <t>https://doi.org/10.1145/3510458.3513012</t>
  </si>
  <si>
    <t>56–66</t>
  </si>
  <si>
    <t>Kunft, Andreas; Katsifodimos, Asterios; Schelter, Sebastian; Breß, Sebastian; Rabl, Tilmann; Markl, Volker</t>
  </si>
  <si>
    <t>An Intermediate Representation for Optimizing Machine Learning Pipelines</t>
  </si>
  <si>
    <t>10.14778/3342263.3342633</t>
  </si>
  <si>
    <t>https://doi.org/10.14778/3342263.3342633</t>
  </si>
  <si>
    <t>2019-07</t>
  </si>
  <si>
    <t>1553–1567</t>
  </si>
  <si>
    <t>Gopinath, Sridhar; Ghanathe, Nikhil; Seshadri, Vivek; Sharma, Rahul</t>
  </si>
  <si>
    <t>Compiling KB-Sized Machine Learning Models to Tiny IoT Devices</t>
  </si>
  <si>
    <t>Proceedings of the 40th ACM SIGPLAN Conference on Programming Language Design and Implementation</t>
  </si>
  <si>
    <t>978-1-4503-6712-7</t>
  </si>
  <si>
    <t>10.1145/3314221.3314597</t>
  </si>
  <si>
    <t>https://doi.org/10.1145/3314221.3314597</t>
  </si>
  <si>
    <t>2019</t>
  </si>
  <si>
    <t>79–95</t>
  </si>
  <si>
    <t>Verbaere, Mathieu; Ettinger, Ran; de Moor, Oege</t>
  </si>
  <si>
    <t>JunGL: A Scripting Language for Refactoring</t>
  </si>
  <si>
    <t>Proceedings of the 28th International Conference on Software Engineering</t>
  </si>
  <si>
    <t>1-59593-375-1</t>
  </si>
  <si>
    <t>10.1145/1134285.1134311</t>
  </si>
  <si>
    <t>https://doi.org/10.1145/1134285.1134311</t>
  </si>
  <si>
    <t>2006</t>
  </si>
  <si>
    <t>172–181</t>
  </si>
  <si>
    <t>Mathaikutty, Deepak; Patel, Hiren; Shukla, Sandeep; Jantsch, Axel</t>
  </si>
  <si>
    <t>EWD: A Metamodeling Driven Customizable Multi-MoC System Modeling Framework</t>
  </si>
  <si>
    <t>ACM Trans. Des. Autom. Electron. Syst.</t>
  </si>
  <si>
    <t>1084-4309</t>
  </si>
  <si>
    <t>10.1145/1255456.1255470</t>
  </si>
  <si>
    <t>https://doi.org/10.1145/1255456.1255470</t>
  </si>
  <si>
    <t>2008-05</t>
  </si>
  <si>
    <t>3</t>
  </si>
  <si>
    <t>Place: New York, NY, USA Publisher: Association for Computing Machinery</t>
  </si>
  <si>
    <t>Stephan, Matthew</t>
  </si>
  <si>
    <t>Towards a Cognizant Virtual Software Modeling Assistant Using Model Clones</t>
  </si>
  <si>
    <t>Proceedings of the 41st International Conference on Software Engineering: New Ideas and Emerging Results</t>
  </si>
  <si>
    <t>10.1109/ICSE-NIER.2019.00014</t>
  </si>
  <si>
    <t>https://doi.org/10.1109/ICSE-NIER.2019.00014</t>
  </si>
  <si>
    <t>21–24</t>
  </si>
  <si>
    <t>Lano, K.</t>
  </si>
  <si>
    <t>Program Translation Using Model-Driven Engineering</t>
  </si>
  <si>
    <t>10.1145/3510454.3528639</t>
  </si>
  <si>
    <t>https://doi.org/10.1145/3510454.3528639</t>
  </si>
  <si>
    <t>362–363</t>
  </si>
  <si>
    <t>Grabowicz, Przemyslaw A.; Perello, Nicholas; Mishra, Aarshee</t>
  </si>
  <si>
    <t>Marrying Fairness and Explainability in Supervised Learning</t>
  </si>
  <si>
    <t>2022 ACM Conference on Fairness, Accountability, and Transparency</t>
  </si>
  <si>
    <t>978-1-4503-9352-2</t>
  </si>
  <si>
    <t>10.1145/3531146.3533236</t>
  </si>
  <si>
    <t>https://doi.org/10.1145/3531146.3533236</t>
  </si>
  <si>
    <t>1905–1916</t>
  </si>
  <si>
    <t>event-place: Seoul, Republic of Korea</t>
  </si>
  <si>
    <t>Boubekeur, Younes; Mussbacher, Gunter</t>
  </si>
  <si>
    <t>Towards a Better Understanding of Interactions with a Domain Modeling Assistant</t>
  </si>
  <si>
    <t>10.1145/3417990.3418742</t>
  </si>
  <si>
    <t>https://doi.org/10.1145/3417990.3418742</t>
  </si>
  <si>
    <t>Cho, Hyunsung; Mathur, Akhil; Kawsar, Fahim</t>
  </si>
  <si>
    <t>FLAME: Federated Learning across Multi-Device Environments</t>
  </si>
  <si>
    <t>Proc. ACM Interact. Mob. Wearable Ubiquitous Technol.</t>
  </si>
  <si>
    <t>10.1145/3550289</t>
  </si>
  <si>
    <t>https://doi.org/10.1145/3550289</t>
  </si>
  <si>
    <t>2022-09</t>
  </si>
  <si>
    <t>Benaben, Frederick; Lauras, Matthieu; Fertier, Audrey; Salatgé, Nicolas</t>
  </si>
  <si>
    <t>Integrating Model-Driven Engineering as the next Challenge for Artificial Intelligence: Application to Risk and Crisis Management</t>
  </si>
  <si>
    <t>Proceedings of the Winter Simulation Conference</t>
  </si>
  <si>
    <t>978-1-72813-283-9</t>
  </si>
  <si>
    <t>1549–1563</t>
  </si>
  <si>
    <t>event-place: National Harbor, Maryland</t>
  </si>
  <si>
    <t>Babur, Önder</t>
  </si>
  <si>
    <t>Statistical Analysis of Large Sets of Models</t>
  </si>
  <si>
    <t>Proceedings of the 31st IEEE/ACM International Conference on Automated Software Engineering</t>
  </si>
  <si>
    <t>978-1-4503-3845-5</t>
  </si>
  <si>
    <t>10.1145/2970276.2975938</t>
  </si>
  <si>
    <t>https://doi.org/10.1145/2970276.2975938</t>
  </si>
  <si>
    <t>2016</t>
  </si>
  <si>
    <t>888–891</t>
  </si>
  <si>
    <t>Boubekeur, Younes; Mussbacher, Gunter; McIntosh, Shane</t>
  </si>
  <si>
    <t>Automatic Assessment of Students' Software Models Using a Simple Heuristic and Machine Learning</t>
  </si>
  <si>
    <t>10.1145/3417990.3418741</t>
  </si>
  <si>
    <t>https://doi.org/10.1145/3417990.3418741</t>
  </si>
  <si>
    <t>Hartmann, Thomas; Moawad, Assaad; Fouquet, Francois; Traon, Yves Le</t>
  </si>
  <si>
    <t>The next Evolution of MDE: A Seamless Integration of Machine Learning into Domain Modeling</t>
  </si>
  <si>
    <t>Proceedings of the ACM/IEEE 20th International Conference on Model Driven Engineering Languages and Systems</t>
  </si>
  <si>
    <t>978-1-5386-3492-9</t>
  </si>
  <si>
    <t>10.1109/MODELS.2017.32</t>
  </si>
  <si>
    <t>https://doi.org/10.1109/MODELS.2017.32</t>
  </si>
  <si>
    <t>180</t>
  </si>
  <si>
    <t>event-place: Austin, Texas</t>
  </si>
  <si>
    <t>Bauer, Tim; Erwig, Martin; Fern, Alan; Pinto, Jervis</t>
  </si>
  <si>
    <t>Faster Program Adaptation through Reward Attribution Inference</t>
  </si>
  <si>
    <t>Proceedings of the 11th International Conference on Generative Programming and Component Engineering</t>
  </si>
  <si>
    <t>978-1-4503-1129-8</t>
  </si>
  <si>
    <t>10.1145/2371401.2371417</t>
  </si>
  <si>
    <t>https://doi.org/10.1145/2371401.2371417</t>
  </si>
  <si>
    <t>2012</t>
  </si>
  <si>
    <t>103–111</t>
  </si>
  <si>
    <t>Moin, Armin; Rössler, Stephan; Sayih, Marouane; Günnemann, Stephan</t>
  </si>
  <si>
    <t>From Things' Modeling Language (ThingML) to Things' Machine Learning (ThingML2)</t>
  </si>
  <si>
    <t>10.1145/3417990.3420057</t>
  </si>
  <si>
    <t>https://doi.org/10.1145/3417990.3420057</t>
  </si>
  <si>
    <t>Xin, Doris; Macke, Stephen; Ma, Litian; Liu, Jialin; Song, Shuchen; Parameswaran, Aditya</t>
  </si>
  <si>
    <t>HELIX: Holistic Optimization for Accelerating Iterative Machine Learning</t>
  </si>
  <si>
    <t>10.14778/3297753.3297763</t>
  </si>
  <si>
    <t>https://doi.org/10.14778/3297753.3297763</t>
  </si>
  <si>
    <t>2018-12</t>
  </si>
  <si>
    <t>446–460</t>
  </si>
  <si>
    <t>4</t>
  </si>
  <si>
    <t>Daruwalla, Kyle; Zhuo, Heng; Shukla, Rohit; Lipasti, Mikko</t>
  </si>
  <si>
    <t>BitSAD v2: Compiler Optimization and Analysis for Bitstream Computing</t>
  </si>
  <si>
    <t>ACM Trans. Archit. Code Optim.</t>
  </si>
  <si>
    <t>1544-3566</t>
  </si>
  <si>
    <t>10.1145/3364999</t>
  </si>
  <si>
    <t>https://doi.org/10.1145/3364999</t>
  </si>
  <si>
    <t>2019-11</t>
  </si>
  <si>
    <t>Cheng, Heng-Tze; Haque, Zakaria; Hong, Lichan; Ispir, Mustafa; Mewald, Clemens; Polosukhin, Illia; Roumpos, Georgios; Sculley, D.; Smith, Jamie; Soergel, David; Tang, Yuan; Tucker, Philipp; Wicke, Martin; Xia, Cassandra; Xie, Jianwei</t>
  </si>
  <si>
    <t>TensorFlow Estimators: Managing Simplicity vs. Flexibility in High-Level Machine Learning Frameworks</t>
  </si>
  <si>
    <t>Proceedings of the 23rd ACM SIGKDD International Conference on Knowledge Discovery and Data Mining</t>
  </si>
  <si>
    <t>978-1-4503-4887-4</t>
  </si>
  <si>
    <t>10.1145/3097983.3098171</t>
  </si>
  <si>
    <t>https://doi.org/10.1145/3097983.3098171</t>
  </si>
  <si>
    <t>1763–1771</t>
  </si>
  <si>
    <t>Merino, Mauricio Verano; Vinju, Jurgen; van der Storm, Tijs</t>
  </si>
  <si>
    <t>Bacatá: A Language Parametric Notebook Generator (Tool Demo)</t>
  </si>
  <si>
    <t>Proceedings of the 11th ACM SIGPLAN International Conference on Software Language Engineering</t>
  </si>
  <si>
    <t>978-1-4503-6029-6</t>
  </si>
  <si>
    <t>10.1145/3276604.3276981</t>
  </si>
  <si>
    <t>https://doi.org/10.1145/3276604.3276981</t>
  </si>
  <si>
    <t>2018</t>
  </si>
  <si>
    <t>210–214</t>
  </si>
  <si>
    <t>Chafi, Hassan; Sujeeth, Arvind K.; Brown, Kevin J.; Lee, HyoukJoong; Atreya, Anand R.; Olukotun, Kunle</t>
  </si>
  <si>
    <t>A Domain-Specific Approach to Heterogeneous Parallelism</t>
  </si>
  <si>
    <t>Proceedings of the 16th ACM Symposium on Principles and Practice of Parallel Programming</t>
  </si>
  <si>
    <t>978-1-4503-0119-0</t>
  </si>
  <si>
    <t>10.1145/1941553.1941561</t>
  </si>
  <si>
    <t>https://doi.org/10.1145/1941553.1941561</t>
  </si>
  <si>
    <t>35–46</t>
  </si>
  <si>
    <t>event-place: San Antonio, TX, USA</t>
  </si>
  <si>
    <t>Olukotun, Kunle</t>
  </si>
  <si>
    <t>Beyond Parallel Programming with Domain Specific Languages</t>
  </si>
  <si>
    <t>Proceedings of the 19th ACM SIGPLAN Symposium on Principles and Practice of Parallel Programming</t>
  </si>
  <si>
    <t>978-1-4503-2656-8</t>
  </si>
  <si>
    <t>10.1145/2555243.2557966</t>
  </si>
  <si>
    <t>https://doi.org/10.1145/2555243.2557966</t>
  </si>
  <si>
    <t>2014</t>
  </si>
  <si>
    <t>179–180</t>
  </si>
  <si>
    <t>8</t>
  </si>
  <si>
    <t>Dethlefs, Nina; Hawick, Ken</t>
  </si>
  <si>
    <t>DEFIne: A Fluent Interface DSL for Deep Learning Applications</t>
  </si>
  <si>
    <t>Proceedings of the 2nd International Workshop on Real World Domain Specific Languages</t>
  </si>
  <si>
    <t>978-1-4503-4845-4</t>
  </si>
  <si>
    <t>10.1145/3039895.3039898</t>
  </si>
  <si>
    <t>https://doi.org/10.1145/3039895.3039898</t>
  </si>
  <si>
    <t>Jin, Yu; Duffield, Nick; Gerber, Alexandre; Haffner, Patrick; Sen, Subhabrata; Zhang, Zhi-Li</t>
  </si>
  <si>
    <t>NEVERMIND, the Problem is Already Fixed: Proactively Detecting and Troubleshooting Customer DSL Problems</t>
  </si>
  <si>
    <t>Proceedings of the 6th International COnference</t>
  </si>
  <si>
    <t>978-1-4503-0448-1</t>
  </si>
  <si>
    <t>10.1145/1921168.1921178</t>
  </si>
  <si>
    <t>https://doi.org/10.1145/1921168.1921178</t>
  </si>
  <si>
    <t>Stoltzfus, Larisa; Hagedorn, Bastian; Steuwer, Michel; Gorlatch, Sergei; Dubach, Christophe</t>
  </si>
  <si>
    <t>Tiling Optimizations for Stencil Computations Using Rewrite Rules in Lift</t>
  </si>
  <si>
    <t>10.1145/3368858</t>
  </si>
  <si>
    <t>https://doi.org/10.1145/3368858</t>
  </si>
  <si>
    <t>2019-12</t>
  </si>
  <si>
    <t>Hagedorn, Bastian; Stoltzfus, Larisa; Steuwer, Michel; Gorlatch, Sergei; Dubach, Christophe</t>
  </si>
  <si>
    <t>High Performance Stencil Code Generation with Lift</t>
  </si>
  <si>
    <t>Proceedings of the 2018 International Symposium on Code Generation and Optimization</t>
  </si>
  <si>
    <t>978-1-4503-5617-6</t>
  </si>
  <si>
    <t>10.1145/3168824</t>
  </si>
  <si>
    <t>https://doi.org/10.1145/3168824</t>
  </si>
  <si>
    <t>100–112</t>
  </si>
  <si>
    <t>Sujeeth, Arvind K.; Brown, Kevin J.; Lee, Hyoukjoong; Rompf, Tiark; Chafi, Hassan; Odersky, Martin; Olukotun, Kunle</t>
  </si>
  <si>
    <t>Delite: A Compiler Architecture for Performance-Oriented Embedded Domain-Specific Languages</t>
  </si>
  <si>
    <t>ACM Trans. Embed. Comput. Syst.</t>
  </si>
  <si>
    <t>1539-9087</t>
  </si>
  <si>
    <t>10.1145/2584665</t>
  </si>
  <si>
    <t>https://doi.org/10.1145/2584665</t>
  </si>
  <si>
    <t>2014-04</t>
  </si>
  <si>
    <t>4s</t>
  </si>
  <si>
    <t>Perez, Victor; Sommer, Lukas; Lomüller, Victor; Narasimhan, Kumudha; Goli, Mehdi</t>
  </si>
  <si>
    <t>User-Driven Online Kernel Fusion for SYCL</t>
  </si>
  <si>
    <t>10.1145/3571284</t>
  </si>
  <si>
    <t>https://doi.org/10.1145/3571284</t>
  </si>
  <si>
    <t>2022-11</t>
  </si>
  <si>
    <t>Jangda, Abhinav; Huang, Jun; Liu, Guodong; Sabet, Amir Hossein Nodehi; Maleki, Saeed; Miao, Youshan; Musuvathi, Madanlal; Mytkowicz, Todd; Saarikivi, Olli</t>
  </si>
  <si>
    <t>Breaking the Computation and Communication Abstraction Barrier in Distributed Machine Learning Workloads</t>
  </si>
  <si>
    <t>Proceedings of the 27th ACM International Conference on Architectural Support for Programming Languages and Operating Systems</t>
  </si>
  <si>
    <t>978-1-4503-9205-1</t>
  </si>
  <si>
    <t>10.1145/3503222.3507778</t>
  </si>
  <si>
    <t>https://doi.org/10.1145/3503222.3507778</t>
  </si>
  <si>
    <t>402–416</t>
  </si>
  <si>
    <t>Shaikhha, Amir; Schleich, Maximilian; Ghita, Alexandru; Olteanu, Dan</t>
  </si>
  <si>
    <t>Multi-Layer Optimizations for End-to-End Data Analytics</t>
  </si>
  <si>
    <t>Proceedings of the 18th ACM/IEEE International Symposium on Code Generation and Optimization</t>
  </si>
  <si>
    <t>978-1-4503-7047-9</t>
  </si>
  <si>
    <t>10.1145/3368826.3377923</t>
  </si>
  <si>
    <t>https://doi.org/10.1145/3368826.3377923</t>
  </si>
  <si>
    <t>145–157</t>
  </si>
  <si>
    <t>Chhokra, Ajay; Barreto, Carlos; Dubey, Abhishek; Karsai, Gabor; Koutsoukos, Xenofon</t>
  </si>
  <si>
    <t>Power-Attack: A Comprehensive Tool-Chain for Modeling and Simulating Attacks in Power Systems</t>
  </si>
  <si>
    <t>Proceedings of the 9th Workshop on Modeling and Simulation of Cyber-Physical Energy Systems</t>
  </si>
  <si>
    <t>978-1-4503-8608-1</t>
  </si>
  <si>
    <t>10.1145/3470481.3472705</t>
  </si>
  <si>
    <t>https://doi.org/10.1145/3470481.3472705</t>
  </si>
  <si>
    <t>Jakubův, Jan; Urban, Josef</t>
  </si>
  <si>
    <t>BliStrTune: Hierarchical Invention of Theorem Proving Strategies</t>
  </si>
  <si>
    <t>Proceedings of the 6th ACM SIGPLAN Conference on Certified Programs and Proofs</t>
  </si>
  <si>
    <t>978-1-4503-4705-1</t>
  </si>
  <si>
    <t>10.1145/3018610.3018619</t>
  </si>
  <si>
    <t>https://doi.org/10.1145/3018610.3018619</t>
  </si>
  <si>
    <t>43–52</t>
  </si>
  <si>
    <t>event-place: Paris, France</t>
  </si>
  <si>
    <t>Svore, Krysta; Geller, Alan; Troyer, Matthias; Azariah, John; Granade, Christopher; Heim, Bettina; Kliuchnikov, Vadym; Mykhailova, Mariia; Paz, Andres; Roetteler, Martin</t>
  </si>
  <si>
    <t>Q#: Enabling Scalable Quantum Computing and Development with a High-Level DSL</t>
  </si>
  <si>
    <t>Proceedings of the Real World Domain Specific Languages Workshop 2018</t>
  </si>
  <si>
    <t>978-1-4503-6355-6</t>
  </si>
  <si>
    <t>10.1145/3183895.3183901</t>
  </si>
  <si>
    <t>https://doi.org/10.1145/3183895.3183901</t>
  </si>
  <si>
    <t>Kiefer, Martin; Poulakis, Ilias; Breß, Sebastian; Markl, Volker</t>
  </si>
  <si>
    <t>Scotch: Generating FPGA-Accelerators for Sketching at Line Rate</t>
  </si>
  <si>
    <t>10.14778/3430915.3430919</t>
  </si>
  <si>
    <t>https://doi.org/10.14778/3430915.3430919</t>
  </si>
  <si>
    <t>2021-12</t>
  </si>
  <si>
    <t>281–293</t>
  </si>
  <si>
    <t>Koeplinger, David; Feldman, Matthew; Prabhakar, Raghu; Zhang, Yaqi; Hadjis, Stefan; Fiszel, Ruben; Zhao, Tian; Nardi, Luigi; Pedram, Ardavan; Kozyrakis, Christos; Olukotun, Kunle</t>
  </si>
  <si>
    <t>Spatial: A Language and Compiler for Application Accelerators</t>
  </si>
  <si>
    <t>Proceedings of the 39th ACM SIGPLAN Conference on Programming Language Design and Implementation</t>
  </si>
  <si>
    <t>978-1-4503-5698-5</t>
  </si>
  <si>
    <t>10.1145/3192366.3192379</t>
  </si>
  <si>
    <t>https://doi.org/10.1145/3192366.3192379</t>
  </si>
  <si>
    <t>296–311</t>
  </si>
  <si>
    <t>Melkonian, Orestis; Ren, Iris Yuping; Swierstra, Wouter; Volk, Anja</t>
  </si>
  <si>
    <t>What Constitutes a Musical Pattern?</t>
  </si>
  <si>
    <t>Proceedings of the 7th ACM SIGPLAN International Workshop on Functional Art, Music, Modeling, and Design</t>
  </si>
  <si>
    <t>978-1-4503-6811-7</t>
  </si>
  <si>
    <t>10.1145/3331543.3342587</t>
  </si>
  <si>
    <t>https://doi.org/10.1145/3331543.3342587</t>
  </si>
  <si>
    <t>95–105</t>
  </si>
  <si>
    <t>Gulwani, Sumit</t>
  </si>
  <si>
    <t>Programming by Examples: Applications, Algorithms, and Ambiguity Resolution</t>
  </si>
  <si>
    <t>Proceedings of the 19th International Symposium on Principles and Practice of Declarative Programming</t>
  </si>
  <si>
    <t>978-1-4503-5291-8</t>
  </si>
  <si>
    <t>10.1145/3131851.3131853</t>
  </si>
  <si>
    <t>https://doi.org/10.1145/3131851.3131853</t>
  </si>
  <si>
    <t>2</t>
  </si>
  <si>
    <t>Fremont, Daniel J.; Dreossi, Tommaso; Ghosh, Shromona; Yue, Xiangyu; Sangiovanni-Vincentelli, Alberto L.; Seshia, Sanjit A.</t>
  </si>
  <si>
    <t>Scenic: A Language for Scenario Specification and Scene Generation</t>
  </si>
  <si>
    <t>10.1145/3314221.3314633</t>
  </si>
  <si>
    <t>https://doi.org/10.1145/3314221.3314633</t>
  </si>
  <si>
    <t>63–78</t>
  </si>
  <si>
    <t>Saini, Rijul; Mussbacher, Gunter; Guo, Jin L. C.; Kienzle, Jörg</t>
  </si>
  <si>
    <t>Machine Learning-Based Incremental Learning in Interactive Domain Modelling</t>
  </si>
  <si>
    <t>Proceedings of the 25th International Conference on Model Driven Engineering Languages and Systems</t>
  </si>
  <si>
    <t>978-1-4503-9466-6</t>
  </si>
  <si>
    <t>10.1145/3550355.3552421</t>
  </si>
  <si>
    <t>https://doi.org/10.1145/3550355.3552421</t>
  </si>
  <si>
    <t>176–186</t>
  </si>
  <si>
    <t>DoMoBOT: A Bot for Automated and Interactive Domain Modelling</t>
  </si>
  <si>
    <t>10.1145/3417990.3421385</t>
  </si>
  <si>
    <t>https://doi.org/10.1145/3417990.3421385</t>
  </si>
  <si>
    <t>Barzdins, Paulis; Celms, Edgars; Barzdins, Janis; Kalnins, Audris; Sprogis, Arturs; Grasmanis, Mikus; Rikacovs, Sergejs</t>
  </si>
  <si>
    <t>Metamodel Specialization Based DSL for DL Lifecycle Data Management</t>
  </si>
  <si>
    <t>10.1145/3417990.3420050</t>
  </si>
  <si>
    <t>https://doi.org/10.1145/3417990.3420050</t>
  </si>
  <si>
    <t>Sioutas, Savvas; Stuijk, Sander; Basten, Twan; Somers, Lou; Corporaal, Henk</t>
  </si>
  <si>
    <t>Programming Tensor Cores from an Image Processing DSL</t>
  </si>
  <si>
    <t>Proceedings of the 23th International Workshop on Software and Compilers for Embedded Systems</t>
  </si>
  <si>
    <t>978-1-4503-7131-5</t>
  </si>
  <si>
    <t>10.1145/3378678.3391880</t>
  </si>
  <si>
    <t>https://doi.org/10.1145/3378678.3391880</t>
  </si>
  <si>
    <t>36–41</t>
  </si>
  <si>
    <t>Gao, Wei; Fang, Jiarui; Zhao, Wenlai; Yang, Jinzhe; Wang, Long; Gan, Lin; Fu, Haohuan; Yang, Guangwen</t>
  </si>
  <si>
    <t>SwATOP: Automatically Optimizing Deep Learning Operators on SW26010 Many-Core Processor</t>
  </si>
  <si>
    <t>Proceedings of the 48th International Conference on Parallel Processing</t>
  </si>
  <si>
    <t>978-1-4503-6295-5</t>
  </si>
  <si>
    <t>10.1145/3337821.3337883</t>
  </si>
  <si>
    <t>https://doi.org/10.1145/3337821.3337883</t>
  </si>
  <si>
    <t>Vasilache, Nicolas; Zinenko, Oleksandr; Theodoridis, Theodoros; Goyal, Priya; Devito, Zachary; Moses, William S.; Verdoolaege, Sven; Adams, Andrew; Cohen, Albert</t>
  </si>
  <si>
    <t>The Next 700 Accelerated Layers: From Mathematical Expressions of Network Computation Graphs to Accelerated GPU Kernels, Automatically</t>
  </si>
  <si>
    <t>10.1145/3355606</t>
  </si>
  <si>
    <t>https://doi.org/10.1145/3355606</t>
  </si>
  <si>
    <t>2019-10</t>
  </si>
  <si>
    <t>Mishchenko, Andrey; Danco, Dominique; Jindal, Abhilash; Blue, Adrian</t>
  </si>
  <si>
    <t>Blueprint: A Constraint-Solving Approach for Document Extraction</t>
  </si>
  <si>
    <t>10.14778/3554821.3554836</t>
  </si>
  <si>
    <t>https://doi.org/10.14778/3554821.3554836</t>
  </si>
  <si>
    <t>3459–3471</t>
  </si>
  <si>
    <t>12</t>
  </si>
  <si>
    <t>Stelly, Christopher; Roussev, Vassil</t>
  </si>
  <si>
    <t>Language-Based Integration of Digital Forensics &amp;amp; Incident Response</t>
  </si>
  <si>
    <t>Proceedings of the 14th International Conference on Availability, Reliability and Security</t>
  </si>
  <si>
    <t>978-1-4503-7164-3</t>
  </si>
  <si>
    <t>10.1145/3339252.3339278</t>
  </si>
  <si>
    <t>https://doi.org/10.1145/3339252.3339278</t>
  </si>
  <si>
    <t>Johnson, Troy A.; Eigenmann, Rudolf</t>
  </si>
  <si>
    <t>Context-Sensitive Domain-Independent Algorithm Composition and Selection</t>
  </si>
  <si>
    <t>Proceedings of the 27th ACM SIGPLAN Conference on Programming Language Design and Implementation</t>
  </si>
  <si>
    <t>1-59593-320-4</t>
  </si>
  <si>
    <t>10.1145/1133981.1134003</t>
  </si>
  <si>
    <t>https://doi.org/10.1145/1133981.1134003</t>
  </si>
  <si>
    <t>181–192</t>
  </si>
  <si>
    <t>6</t>
  </si>
  <si>
    <t>Garcia-Sanjuan, Fernando; Jaen, Javier; Catala, Alejandro</t>
  </si>
  <si>
    <t>Multi-Display Environments to Foster Emotional Intelligence in Hospitalized Children</t>
  </si>
  <si>
    <t>Proceedings of the XVI International Conference on Human Computer Interaction</t>
  </si>
  <si>
    <t>978-1-4503-3463-1</t>
  </si>
  <si>
    <t>10.1145/2829875.2829880</t>
  </si>
  <si>
    <t>https://doi.org/10.1145/2829875.2829880</t>
  </si>
  <si>
    <t>2015</t>
  </si>
  <si>
    <t>event-place: Vilanova i la Geltru, Spain</t>
  </si>
  <si>
    <t>Nechypurenko, Andrey; Wuchner, Egon; White, Jules; Schmidt, Douglas C.</t>
  </si>
  <si>
    <t>Applying Model Intelligence Frameworks for Deployment Problem in Real-Time and Embedded Systems</t>
  </si>
  <si>
    <t>Proceedings of the 2006 International Conference on Models in Software Engineering</t>
  </si>
  <si>
    <t>978-3-540-69488-5</t>
  </si>
  <si>
    <t>143–151</t>
  </si>
  <si>
    <t>event-place: Genoa, Italy</t>
  </si>
  <si>
    <t>Bencomo, Nelly; Blair, Gordon; Götz, Sebastian; Morin, Brice; Rumpe, Bernhard</t>
  </si>
  <si>
    <t>Summary of the 7th International Workshop on Models@run.Time</t>
  </si>
  <si>
    <t>Proceedings of the 7th Workshop on Models@run.Time</t>
  </si>
  <si>
    <t>978-1-4503-1802-0</t>
  </si>
  <si>
    <t>10.1145/2422518.2422519</t>
  </si>
  <si>
    <t>https://doi.org/10.1145/2422518.2422519</t>
  </si>
  <si>
    <t>1–2</t>
  </si>
  <si>
    <t>event-place: Innsbruck, Austria</t>
  </si>
  <si>
    <t>Zahoor, Tayyba; Azam, Farooque; Anwar, Muahmmad Waseem; Tariq, Ayesha; Javaid, Haider Ali</t>
  </si>
  <si>
    <t>An Investigation of Smart Parking Tools, Technologies, &amp;amp; Challenges</t>
  </si>
  <si>
    <t>Proceedings of the 2020 9th International Conference on Software and Information Engineering (ICSIE)</t>
  </si>
  <si>
    <t>978-1-4503-7721-8</t>
  </si>
  <si>
    <t>10.1145/3436829.3436851</t>
  </si>
  <si>
    <t>https://doi.org/10.1145/3436829.3436851</t>
  </si>
  <si>
    <t>198–203</t>
  </si>
  <si>
    <t>event-place: Cairo, Egypt</t>
  </si>
  <si>
    <t>Papapanagiotou, Petros; Davoust, Alan; Murray-Rust, Dave; Manataki, Areti; Van Kleek, Max; Shadbolt, Nigel; Robertson, Dave</t>
  </si>
  <si>
    <t>Social Machines for All</t>
  </si>
  <si>
    <t>Proceedings of the 17th International Conference on Autonomous Agents and MultiAgent Systems</t>
  </si>
  <si>
    <t>1208–1212</t>
  </si>
  <si>
    <t>International Foundation for Autonomous Agents and Multiagent Systems</t>
  </si>
  <si>
    <t>Richland, SC</t>
  </si>
  <si>
    <t>event-place: Stockholm, Sweden</t>
  </si>
  <si>
    <t>Dignum, Frank; Padget, Julian; Vasconcelos, Wamberto</t>
  </si>
  <si>
    <t>Organizing Services for a Changing Environment</t>
  </si>
  <si>
    <t>Proceedings of the 12th International Conference on Information Integration and Web-Based Applications &amp;amp; Services</t>
  </si>
  <si>
    <t>978-1-4503-0421-4</t>
  </si>
  <si>
    <t>10.1145/1967486.1967492</t>
  </si>
  <si>
    <t>https://doi.org/10.1145/1967486.1967492</t>
  </si>
  <si>
    <t>16</t>
  </si>
  <si>
    <t>Rivera, Luis F.; Müller, Hausi A.; Villegas, Norha M.; Tamura, Gabriel; Jiménez, Miguel</t>
  </si>
  <si>
    <t>On the Engineering of IoT-Intensive Digital Twin Software Systems</t>
  </si>
  <si>
    <t>Proceedings of the IEEE/ACM 42nd International Conference on Software Engineering Workshops</t>
  </si>
  <si>
    <t>978-1-4503-7963-2</t>
  </si>
  <si>
    <t>10.1145/3387940.3392195</t>
  </si>
  <si>
    <t>https://doi.org/10.1145/3387940.3392195</t>
  </si>
  <si>
    <t>631–638</t>
  </si>
  <si>
    <t>Calvary, Gaëlle; Demeure, Alexandre</t>
  </si>
  <si>
    <t>Context-Aware and Mobile Interactive Systems: The Future of User Interfaces Plasticity</t>
  </si>
  <si>
    <t>Proceedings of the 1st ACM SIGCHI Symposium on Engineering Interactive Computing Systems</t>
  </si>
  <si>
    <t>978-1-60558-600-7</t>
  </si>
  <si>
    <t>10.1145/1570433.1570478</t>
  </si>
  <si>
    <t>https://doi.org/10.1145/1570433.1570478</t>
  </si>
  <si>
    <t>2009</t>
  </si>
  <si>
    <t>243–244</t>
  </si>
  <si>
    <t>event-place: Pittsburgh, PA, USA</t>
  </si>
  <si>
    <t>Clemente, Pedro J.; Conejero, José M.; Hernández, Juan; Sánchez, Lara</t>
  </si>
  <si>
    <t>HAAIS-DSL: DSL to Develop Home Automation and Ambient Intelligence Systems</t>
  </si>
  <si>
    <t>Proceedings of the Second Workshop on Isolation and Integration in Embedded Systems</t>
  </si>
  <si>
    <t>978-1-60558-464-5</t>
  </si>
  <si>
    <t>10.1145/1519130.1519133</t>
  </si>
  <si>
    <t>https://doi.org/10.1145/1519130.1519133</t>
  </si>
  <si>
    <t>13–18</t>
  </si>
  <si>
    <t>event-place: Nuremburg, Germany</t>
  </si>
  <si>
    <t>van Doesburg, Robert; van Engers, Tom</t>
  </si>
  <si>
    <t>The False, the Former, and the Parish Priest</t>
  </si>
  <si>
    <t>Proceedings of the Seventeenth International Conference on Artificial Intelligence and Law</t>
  </si>
  <si>
    <t>978-1-4503-6754-7</t>
  </si>
  <si>
    <t>10.1145/3322640.3326718</t>
  </si>
  <si>
    <t>https://doi.org/10.1145/3322640.3326718</t>
  </si>
  <si>
    <t>194–198</t>
  </si>
  <si>
    <t>event-place: Montreal, QC, Canada</t>
  </si>
  <si>
    <t>Pelosi, Michael J.; Brown, Michael Scott</t>
  </si>
  <si>
    <t>Software Engineering a Multi-Layer and Scalable Autonomous Forces "A.I." for Professional Military Training</t>
  </si>
  <si>
    <t>Proceedings of the 2016 Winter Simulation Conference</t>
  </si>
  <si>
    <t>978-1-5090-4484-9</t>
  </si>
  <si>
    <t>3122–3133</t>
  </si>
  <si>
    <t>Lallement, Raphaël; de Silva, Lavindra; Alami, Rachid</t>
  </si>
  <si>
    <t>HATP: Hierarchical Agent-Based Task Planner</t>
  </si>
  <si>
    <t>1823–1825</t>
  </si>
  <si>
    <t>Damasceno, Carlos Diego Nascimento; Strüber, Daniel</t>
  </si>
  <si>
    <t>Quality Guidelines for Research Artifacts in Model-Driven Engineering</t>
  </si>
  <si>
    <t>2021 ACM/IEEE 24th International Conference on Model Driven Engineering Languages and Systems (MODELS)</t>
  </si>
  <si>
    <t>10.1109/MODELS50736.2021.00036</t>
  </si>
  <si>
    <t>285-296</t>
  </si>
  <si>
    <t>Saini, Rijul; Mussbacher, Gunter; Guo, Jin L.C.; Kienzle, Jöerg</t>
  </si>
  <si>
    <t>Teaching Modelling Literacy: An Artificial Intelligence Approach</t>
  </si>
  <si>
    <t>2019 ACM/IEEE 22nd International Conference on Model Driven Engineering Languages and Systems Companion (MODELS-C)</t>
  </si>
  <si>
    <t>10.1109/MODELS-C.2019.00108</t>
  </si>
  <si>
    <t>714-719</t>
  </si>
  <si>
    <t>Eramo, Romina; Muttillo, Vittoriano; Berardinelli, Luca; Bruneliere, Hugo; Gomez, Abel; Bagnato, Alessandra; Sadovykh, Andrey; Cicchetti, Antonio</t>
  </si>
  <si>
    <t>AIDOaRt: AI-augmented Automation for DevOps, a Model-based Framework for Continuous Development in Cyber-Physical Systems</t>
  </si>
  <si>
    <t>2021 24th Euromicro Conference on Digital System Design (DSD)</t>
  </si>
  <si>
    <t>10.1109/DSD53832.2021.00053</t>
  </si>
  <si>
    <t>303-310</t>
  </si>
  <si>
    <t>Burgueño, Loli; Kessentini, Marouane; Wimmer, Manuel; Zschaler, Steffen</t>
  </si>
  <si>
    <t>MDE Intelligence 2021: 3rd Workshop on Artificial Intelligence and Model-Driven Engineering</t>
  </si>
  <si>
    <t>2021 ACM/IEEE International Conference on Model Driven Engineering Languages and Systems Companion (MODELS-C)</t>
  </si>
  <si>
    <t>10.1109/MODELS-C53483.2021.00026</t>
  </si>
  <si>
    <t>148-149</t>
  </si>
  <si>
    <t>Djuric, Dragan; Devedzic, Vladan; Gasevic, Dragan</t>
  </si>
  <si>
    <t>Adopting Software Engineering Trends in AI</t>
  </si>
  <si>
    <t>IEEE Intelligent Systems</t>
  </si>
  <si>
    <t>10.1109/MIS.2007.2</t>
  </si>
  <si>
    <t>2007</t>
  </si>
  <si>
    <t>59-66</t>
  </si>
  <si>
    <t>Nagy, Simon József; Szabó, Richárd; Vajda, Máté Levente; Vörös, András</t>
  </si>
  <si>
    <t>Demonstrator for dependable edge-based cyber-physical systems</t>
  </si>
  <si>
    <t>2021 10th Latin-American Symposium on Dependable Computing (LADC)</t>
  </si>
  <si>
    <t>10.1109/LADC53747.2021.9672569</t>
  </si>
  <si>
    <t>1-8</t>
  </si>
  <si>
    <t>Meacham, Sofia; Pech, Vaclav; Nauck, Detlef</t>
  </si>
  <si>
    <t>AdaptiveSystems: An Integrated Framework for Adaptive Systems Design and Development Using MPS JetBrains Domain-Specific Modeling Environment</t>
  </si>
  <si>
    <t>IEEE Access</t>
  </si>
  <si>
    <t>10.1109/ACCESS.2021.3111229</t>
  </si>
  <si>
    <t>127973-127984</t>
  </si>
  <si>
    <t>Ali, Muhammad; Hu, Yim-Fun; Luong, Doanh Kim; Oguntala, George; Li, Jian-Ping; Abdo, Kanaan</t>
  </si>
  <si>
    <t>Adversarial Attacks on AI based Intrusion Detection System for Heterogeneous Wireless Communications Networks</t>
  </si>
  <si>
    <t>2020 AIAA/IEEE 39th Digital Avionics Systems Conference (DASC)</t>
  </si>
  <si>
    <t>10.1109/DASC50938.2020.9256597</t>
  </si>
  <si>
    <t>1-6</t>
  </si>
  <si>
    <t>Chatarasi, Prasanth; Neuendorffer, Stephen; Bayliss, Samuel; Vissers, Kees; Sarkar, Vivek</t>
  </si>
  <si>
    <t>Vyasa: A High-Performance Vectorizing Compiler for Tensor Convolutions on the Xilinx AI Engine</t>
  </si>
  <si>
    <t>2020 IEEE High Performance Extreme Computing Conference (HPEC)</t>
  </si>
  <si>
    <t>10.1109/HPEC43674.2020.9286183</t>
  </si>
  <si>
    <t>1-10</t>
  </si>
  <si>
    <t>Haryono, Stefanus A.; Thung, Ferdian; Lo, David; Lawall, Julia; Jiang, Lingxiao</t>
  </si>
  <si>
    <t>Characterization and Automatic Updates of Deprecated Machine-Learning API Usages</t>
  </si>
  <si>
    <t>2021 IEEE International Conference on Software Maintenance and Evolution (ICSME)</t>
  </si>
  <si>
    <t>10.1109/ICSME52107.2021.00019</t>
  </si>
  <si>
    <t>137-147</t>
  </si>
  <si>
    <t>Shaik, Thanveer; Tao, Xiaohui; Li, Yan; Dann, Christopher; McDonald, Jacquie; Redmond, Petrea; Galligan, Linda</t>
  </si>
  <si>
    <t>A Review of the Trends and Challenges in Adopting Natural Language Processing Methods for Education Feedback Analysis</t>
  </si>
  <si>
    <t>10.1109/ACCESS.2022.3177752</t>
  </si>
  <si>
    <t>56720-56739</t>
  </si>
  <si>
    <t>Westermann, Johannes; Alber, Lucas</t>
  </si>
  <si>
    <t>Cost-aware Adaptive Sampling for Global Metamodeling Using Voronoi Tessellation</t>
  </si>
  <si>
    <t>2022 European Control Conference (ECC)</t>
  </si>
  <si>
    <t>10.23919/ECC55457.2022.9838230</t>
  </si>
  <si>
    <t>454-459</t>
  </si>
  <si>
    <t>Software engineering a multi-layer and scalable autonomous forces “A.I.” for professional military training</t>
  </si>
  <si>
    <t>2016 Winter Simulation Conference (WSC)</t>
  </si>
  <si>
    <t>10.1109/WSC.2016.7822345</t>
  </si>
  <si>
    <t>3122-3133</t>
  </si>
  <si>
    <t>book</t>
  </si>
  <si>
    <t>Agrawal, Akshay; Ali, Alnur; Boyd, Stephen</t>
  </si>
  <si>
    <t>Publication Title: Minimum-Distortion Embedding</t>
  </si>
  <si>
    <t>Aldewereld, Huib; Padget, Julian; Vasconcelos, Wamberto; Vazquez-Salceda, Javier; Sergeant, Paul; Staikopoulos, Athanasios</t>
  </si>
  <si>
    <t>Adaptable, Organization-Aware, Service-Oriented Computing</t>
  </si>
  <si>
    <t>10.1109/MIS.2010.93</t>
  </si>
  <si>
    <t>26-35</t>
  </si>
  <si>
    <t>Wally, Bernhard; Vyskočil, Jiři; Novák, Petr; Huemer, Christian; Šindelář, Radek; Kadera, Petr; Mazak-Huemer, Alexandra; Wimmer, Manuel</t>
  </si>
  <si>
    <t>Leveraging Iterative Plan Refinement for Reactive Smart Manufacturing Systems</t>
  </si>
  <si>
    <t>IEEE Transactions on Automation Science and Engineering</t>
  </si>
  <si>
    <t>10.1109/TASE.2020.3018402</t>
  </si>
  <si>
    <t>230-243</t>
  </si>
  <si>
    <t>Burgueño, Loli; Cabot, Jordi; Gérard, Sébastien</t>
  </si>
  <si>
    <t>An LSTM-Based Neural Network Architecture for Model Transformations</t>
  </si>
  <si>
    <t>2019 ACM/IEEE 22nd International Conference on Model Driven Engineering Languages and Systems (MODELS)</t>
  </si>
  <si>
    <t>10.1109/MODELS.2019.00013</t>
  </si>
  <si>
    <t>294-299</t>
  </si>
  <si>
    <t>Hartmann, Thomas; Moawad, Assaad; Schockaert, Cedric; Fouquet, Francois; Le Traon, Yves</t>
  </si>
  <si>
    <t>Meta-Modelling Meta-Learning</t>
  </si>
  <si>
    <t>10.1109/MODELS.2019.00014</t>
  </si>
  <si>
    <t>300-305</t>
  </si>
  <si>
    <t>Sen, Sagar; Baudry, Benoit</t>
  </si>
  <si>
    <t>Mutation-based Model Synthesis in Model Driven Engineering</t>
  </si>
  <si>
    <t>Second Workshop on Mutation Analysis (Mutation 2006 - ISSRE Workshops 2006)</t>
  </si>
  <si>
    <t>10.1109/MUTATION.2006.12</t>
  </si>
  <si>
    <t>13-13</t>
  </si>
  <si>
    <t>Grobelny, Piotr</t>
  </si>
  <si>
    <t>The expert system approach in development of loosely coupled software with use of Domain Specific Language</t>
  </si>
  <si>
    <t>2008 International Multiconference on Computer Science and Information Technology</t>
  </si>
  <si>
    <t>10.1109/IMCSIT.2008.4747227</t>
  </si>
  <si>
    <t>2008</t>
  </si>
  <si>
    <t>119-123</t>
  </si>
  <si>
    <t>Xing, Yu; Weng, Jian; Wang, Yushun; Sui, Lingzhi; Shan, Yi; Wang, Yu</t>
  </si>
  <si>
    <t>An In-depth Comparison of Compilers for Deep Neural Networks on Hardware</t>
  </si>
  <si>
    <t>2019 IEEE International Conference on Embedded Software and Systems (ICESS)</t>
  </si>
  <si>
    <t>10.1109/ICESS.2019.8782480</t>
  </si>
  <si>
    <t>Li, Sihang; Yu, Jiacheng; Li, Mingxuan; Liu, Le; Zhang, Xiaolong; Yuan, Xiaoru</t>
  </si>
  <si>
    <t>A Framework for Multiclass Contour Visualization</t>
  </si>
  <si>
    <t>IEEE Transactions on Visualization and Computer Graphics</t>
  </si>
  <si>
    <t>10.1109/TVCG.2022.3209482</t>
  </si>
  <si>
    <t>Atasoy, Mehmet Emre; Koçyiğit, Altan</t>
  </si>
  <si>
    <t>An Extensible Software Architecture for Intelligent Assistant</t>
  </si>
  <si>
    <t>2021 6th International Conference on Computer Science and Engineering (UBMK)</t>
  </si>
  <si>
    <t>10.1109/UBMK52708.2021.9558940</t>
  </si>
  <si>
    <t>92-97</t>
  </si>
  <si>
    <t>Havelund, K.; Lowry, M.; Penix, J.</t>
  </si>
  <si>
    <t>Formal analysis of a space-craft controller using SPIN</t>
  </si>
  <si>
    <t>IEEE Transactions on Software Engineering</t>
  </si>
  <si>
    <t>10.1109/32.940728</t>
  </si>
  <si>
    <t>2001</t>
  </si>
  <si>
    <t>749-765</t>
  </si>
  <si>
    <t>Rogalla, Antje; Fay, Alexander; Niggemann, Oliver</t>
  </si>
  <si>
    <t>Improved Domain Modeling for Realistic Automated Planning and Scheduling in Discrete Manufacturing</t>
  </si>
  <si>
    <t>2018 IEEE 23rd International Conference on Emerging Technologies and Factory Automation (ETFA)</t>
  </si>
  <si>
    <t>10.1109/ETFA.2018.8502631</t>
  </si>
  <si>
    <t>464-471</t>
  </si>
  <si>
    <t>Abbas, Muhammad Azeem; Wan Ahmad, Wan Fatimah; Kalid, Khairul Shafee</t>
  </si>
  <si>
    <t>Resource Description Framework based intelligent tutoring system</t>
  </si>
  <si>
    <t>2012 International Conference on Computer &amp; Information Science (ICCIS)</t>
  </si>
  <si>
    <t>10.1109/ICCISci.2012.6297262</t>
  </si>
  <si>
    <t>324-328</t>
  </si>
  <si>
    <t>Lano, Kevin; Yassipour-Tehrani, Sobhan; Umar, M. A.</t>
  </si>
  <si>
    <t>Automated Requirements Formalisation for Agile MDE</t>
  </si>
  <si>
    <t>10.1109/MODELS-C53483.2021.00030</t>
  </si>
  <si>
    <t>173-180</t>
  </si>
  <si>
    <t>de Carvalho, Marcus Vinícius Ribeiro; Barbosa, Ellen Francine; Carvalho, Max Marcus C.</t>
  </si>
  <si>
    <t>Educom.ml: A Modeling Approach for Mobile Educational Content</t>
  </si>
  <si>
    <t>2020 IEEE Frontiers in Education Conference (FIE)</t>
  </si>
  <si>
    <t>10.1109/FIE44824.2020.9274103</t>
  </si>
  <si>
    <t>Kourouklidis, Panagiotis; Kolovos, Dimitris; Noppen, Joost; Matragkas, Nicholas</t>
  </si>
  <si>
    <t>A Model-Driven Engineering Approach for Monitoring Machine Learning Models</t>
  </si>
  <si>
    <t>10.1109/MODELS-C53483.2021.00028</t>
  </si>
  <si>
    <t>160-164</t>
  </si>
  <si>
    <t>Elangovan, P.; Mohseni, Milad; Prasad, P.P.M.; Kanagasabai, N.; Nirmal, Mahesh; Ventayen, Randy Joy Magno</t>
  </si>
  <si>
    <t>A Detailed Investigation on the Role of Internet of Things (IOT) for Better Model-Driven Processing System Based on User Defined Constraints</t>
  </si>
  <si>
    <t>2022 2nd International Conference on Advance Computing and Innovative Technologies in Engineering (ICACITE)</t>
  </si>
  <si>
    <t>10.1109/ICACITE53722.2022.9823919</t>
  </si>
  <si>
    <t>332-335</t>
  </si>
  <si>
    <t>Bouquet, Fabrice; Gauthier, Jean-Marie; Hammad, Ahmed; Peureux, Fabien</t>
  </si>
  <si>
    <t>Transformation of SysML Structure Diagrams to VHDL-AMS</t>
  </si>
  <si>
    <t>2012 Second Workshop on Design, Control and Software Implementation for Distributed MEMS</t>
  </si>
  <si>
    <t>10.1109/dMEMS.2012.12</t>
  </si>
  <si>
    <t>74-81</t>
  </si>
  <si>
    <t>Malathy, P.; Shunmugalatha, A.</t>
  </si>
  <si>
    <t>Enhancement of Maximum Loadability during N-1 and N-2 contingencies with multi type FACTS devices and its optimization using MDE algorithm</t>
  </si>
  <si>
    <t>2016 IEEE Uttar Pradesh Section International Conference on Electrical, Computer and Electronics Engineering (UPCON)</t>
  </si>
  <si>
    <t>10.1109/UPCON.2016.7894647</t>
  </si>
  <si>
    <t>173-178</t>
  </si>
  <si>
    <t>Hamdani, Maryum; Butt, Wasi Haider; Anwar, Muhammad Waseem; Ahsan, Imran; Azam, Farooque; Ahmed, Mudassar Adeel</t>
  </si>
  <si>
    <t>A Novel Framework to Automatically Generate IFML Models From Plain Text Requirements</t>
  </si>
  <si>
    <t>10.1109/ACCESS.2019.2959813</t>
  </si>
  <si>
    <t>183489-183513</t>
  </si>
  <si>
    <t>Fernández-Isabel, Alberto; Fuentes-Fernández, Rubén</t>
  </si>
  <si>
    <t>Developing an integrative Modelling Language for enhancing road traffic simulations</t>
  </si>
  <si>
    <t>2015 Federated Conference on Computer Science and Information Systems (FedCSIS)</t>
  </si>
  <si>
    <t>10.15439/2015F248</t>
  </si>
  <si>
    <t>1745-1756</t>
  </si>
  <si>
    <t>Govindasamy, Hari Shankar; Jayaraman, Ramya; Taspinar, Burcu; Lehner, Daniel; Wimmer, Manuel</t>
  </si>
  <si>
    <t>Air Quality Management: An Exemplar for Model-Driven Digital Twin Engineering</t>
  </si>
  <si>
    <t>10.1109/MODELS-C53483.2021.00040</t>
  </si>
  <si>
    <t>229-232</t>
  </si>
  <si>
    <t>Bhattacharjee, Anirban; Barve, Yogesh; Khare, Shweta; Bao, Shunxing; Kang, Zhuangwei; Gokhale, Aniruddha; Damiano, Thomas</t>
  </si>
  <si>
    <t>STRATUM: A BigData-as-a-Service for Lifecycle Management of IoT Analytics Applications</t>
  </si>
  <si>
    <t>2019 IEEE International Conference on Big Data (Big Data)</t>
  </si>
  <si>
    <t>10.1109/BigData47090.2019.9006518</t>
  </si>
  <si>
    <t>1607-1612</t>
  </si>
  <si>
    <t>Ciccozzi, Federico; Cicchetti, Antonio; Sjödin, Mikael</t>
  </si>
  <si>
    <t>On the Generation of Full-Fledged Code from UML Profiles and ALF for Complex Systems</t>
  </si>
  <si>
    <t>2015 12th International Conference on Information Technology - New Generations</t>
  </si>
  <si>
    <t>10.1109/ITNG.2015.19</t>
  </si>
  <si>
    <t>81-88</t>
  </si>
  <si>
    <t>Al-Jamimi, Hamdi A.; Ahmed, Moataz A.</t>
  </si>
  <si>
    <t>Learning requirements analysis to software design transformation rules by examples: Limitations of current ILP systems</t>
  </si>
  <si>
    <t>2014 IEEE 5th International Conference on Software Engineering and Service Science</t>
  </si>
  <si>
    <t>10.1109/ICSESS.2014.6933513</t>
  </si>
  <si>
    <t>54-57</t>
  </si>
  <si>
    <t>Zehnder, Philipp; Riemer, Dominik</t>
  </si>
  <si>
    <t>Modeling self-service machine-learning agents for distributed stream processing</t>
  </si>
  <si>
    <t>2017 IEEE International Conference on Big Data (Big Data)</t>
  </si>
  <si>
    <t>10.1109/BigData.2017.8258170</t>
  </si>
  <si>
    <t>2203-2212</t>
  </si>
  <si>
    <t>Chang, Meng-Fan; Huang, Lie-Yue; Lin, Wen-Zhang; Chiang, Yen-Ning; Kuo, Chia-Chen; Chuang, Ching-Hao; Yang, Keng-Hao; Tsai, Hsiang-Jen; Chen, Tien-Fu; Sheu, Shyh-Shyuan</t>
  </si>
  <si>
    <t>A ReRAM-Based 4T2R Nonvolatile TCAM Using RC-Filtered Stress-Decoupled Scheme for Frequent-OFF Instant-ON Search Engines Used in IoT and Big-Data Processing</t>
  </si>
  <si>
    <t>IEEE Journal of Solid-State Circuits</t>
  </si>
  <si>
    <t>10.1109/JSSC.2016.2602218</t>
  </si>
  <si>
    <t>2786-2798</t>
  </si>
  <si>
    <t>Hudak, P.</t>
  </si>
  <si>
    <t>Modular domain specific languages and tools</t>
  </si>
  <si>
    <t>Proceedings. Fifth International Conference on Software Reuse (Cat. No.98TB100203)</t>
  </si>
  <si>
    <t>10.1109/ICSR.1998.685738</t>
  </si>
  <si>
    <t>1998</t>
  </si>
  <si>
    <t>134-142</t>
  </si>
  <si>
    <t>Galli, S.; Kerpez, K.J.</t>
  </si>
  <si>
    <t>Single-ended loop make-up identification-part I: a method of analyzing TDR measurements</t>
  </si>
  <si>
    <t>IEEE Transactions on Instrumentation and Measurement</t>
  </si>
  <si>
    <t>10.1109/TIM.2006.870134</t>
  </si>
  <si>
    <t>528-537</t>
  </si>
  <si>
    <t>Signal processing for single-ended loop make-up identification</t>
  </si>
  <si>
    <t>IEEE 6th Workshop on Signal Processing Advances in Wireless Communications, 2005.</t>
  </si>
  <si>
    <t>10.1109/SPAWC.2005.1506049</t>
  </si>
  <si>
    <t>2005</t>
  </si>
  <si>
    <t>368-374</t>
  </si>
  <si>
    <t>McNutt, Andrew M.</t>
  </si>
  <si>
    <t>No Grammar to Rule Them All: A Survey of JSON-style DSLs for Visualization</t>
  </si>
  <si>
    <t>10.1109/TVCG.2022.3209460</t>
  </si>
  <si>
    <t>1-11</t>
  </si>
  <si>
    <t>MLCatchUp: Automated Update of Deprecated Machine-Learning APIs in Python</t>
  </si>
  <si>
    <t>10.1109/ICSME52107.2021.00061</t>
  </si>
  <si>
    <t>584-588</t>
  </si>
  <si>
    <t>Narayanankutty, Hrishikesh</t>
  </si>
  <si>
    <t>Self-Adapting Model-Based SDSec For IoT Networks Using Machine Learning</t>
  </si>
  <si>
    <t>2021 IEEE 18th International Conference on Software Architecture Companion (ICSA-C)</t>
  </si>
  <si>
    <t>10.1109/ICSA-C52384.2021.00023</t>
  </si>
  <si>
    <t>92-93</t>
  </si>
  <si>
    <t>Al-Azzoni, Issam</t>
  </si>
  <si>
    <t>Model Driven Approach for Neural Networks</t>
  </si>
  <si>
    <t>2020 International Conference on Intelligent Data Science Technologies and Applications (IDSTA)</t>
  </si>
  <si>
    <t>10.1109/IDSTA50958.2020.9264067</t>
  </si>
  <si>
    <t>87-94</t>
  </si>
  <si>
    <t>Giffard-Roisin, Sophie; Jackson, Thomas; Fovargue, Lauren; Lee, Jack; Delingette, Hervé; Razavi, Reza; Ayache, Nicholas; Sermesant, Maxime</t>
  </si>
  <si>
    <t>Noninvasive Personalization of a Cardiac Electrophysiology Model From Body Surface Potential Mapping</t>
  </si>
  <si>
    <t>IEEE Transactions on Biomedical Engineering</t>
  </si>
  <si>
    <t>10.1109/TBME.2016.2629849</t>
  </si>
  <si>
    <t>2206-2218</t>
  </si>
  <si>
    <t>9</t>
  </si>
  <si>
    <t>Liu, Siping; Li, Renfa; Tu, Xiaohan; Xie, Guoqi; Xu, Cheng</t>
  </si>
  <si>
    <t>Optimized Monocular Depth Estimation With Reparameterization on Embedded Devices</t>
  </si>
  <si>
    <t>2021 IEEE 23rd Int Conf on High Performance Computing &amp; Communications; 7th Int Conf on Data Science &amp; Systems; 19th Int Conf on Smart City; 7th Int Conf on Dependability in Sensor, Cloud &amp; Big Data Systems &amp; Application (HPCC/DSS/SmartCity/DependSys)</t>
  </si>
  <si>
    <t>10.1109/HPCC-DSS-SmartCity-DependSys53884.2021.00101</t>
  </si>
  <si>
    <t>595-602</t>
  </si>
  <si>
    <t>Soria-Ruiz, Jesús; Fernandez-Ordoñez, Yolanda M.; Ambrosio-Ambrosio, Juan P.; Escalona-Maurice, Miguel A.</t>
  </si>
  <si>
    <t>Sentinel-1 SAR and LiDAR to detect extent and depth flood using Random Forests machine learning</t>
  </si>
  <si>
    <t>IGARSS 2022 - 2022 IEEE International Geoscience and Remote Sensing Symposium</t>
  </si>
  <si>
    <t>10.1109/IGARSS46834.2022.9884139</t>
  </si>
  <si>
    <t>5113-5116</t>
  </si>
  <si>
    <t>Dolques, Xavier; Huchard, Marianne; Nebut, Clementine; Reitz, Philippe</t>
  </si>
  <si>
    <t>Learning Transformation Rules from Transformation Examples: An Approach Based on Relational Concept Analysis</t>
  </si>
  <si>
    <t>2010 14th IEEE International Enterprise Distributed Object Computing Conference Workshops</t>
  </si>
  <si>
    <t>10.1109/EDOCW.2010.32</t>
  </si>
  <si>
    <t>27-32</t>
  </si>
  <si>
    <t>Rigou, Yves; Lamontagne, Dany; Khriss, Ismaïl</t>
  </si>
  <si>
    <t>A Sketch of a Deep Learning Approach for Discovering UML Class Diagrams from System’s Textual Specification</t>
  </si>
  <si>
    <t>2020 1st International Conference on Innovative Research in Applied Science, Engineering and Technology (IRASET)</t>
  </si>
  <si>
    <t>10.1109/IRASET48871.2020.9092144</t>
  </si>
  <si>
    <t>Basmer, Maike; Kehrer, Timo</t>
  </si>
  <si>
    <t>Encoding Adaptability of Software Engineering Tools as Algorithm Configuration Problem: A Case Study</t>
  </si>
  <si>
    <t>2019 34th IEEE/ACM International Conference on Automated Software Engineering Workshop (ASEW)</t>
  </si>
  <si>
    <t>10.1109/ASEW.2019.00035</t>
  </si>
  <si>
    <t>86-89</t>
  </si>
  <si>
    <t>Ben Fraj, Imen; BenDaly Hlaoui, Yousra; BenAyed, Leila</t>
  </si>
  <si>
    <t>A reactive system for specifying and running flexible cloud service business processes based on machine learning</t>
  </si>
  <si>
    <t>2021 IEEE 45th Annual Computers, Software, and Applications Conference (COMPSAC)</t>
  </si>
  <si>
    <t>10.1109/COMPSAC51774.2021.00220</t>
  </si>
  <si>
    <t>1483-1489</t>
  </si>
  <si>
    <t>Guest Editorial Special Issue on Computational Intelligence for Software Engineering and Services Computing</t>
  </si>
  <si>
    <t>IEEE Transactions on Emerging Topics in Computational Intelligence</t>
  </si>
  <si>
    <t>10.1109/TETCI.2017.2700659</t>
  </si>
  <si>
    <t>143-144</t>
  </si>
  <si>
    <t>López, Claudio David; Cvetković, Miloš; Palensky, Peter</t>
  </si>
  <si>
    <t>Enhancing PowerFactory Dynamic Models with Python for Rapid Prototyping</t>
  </si>
  <si>
    <t>2019 IEEE 28th International Symposium on Industrial Electronics (ISIE)</t>
  </si>
  <si>
    <t>10.1109/ISIE.2019.8781432</t>
  </si>
  <si>
    <t>93-99</t>
  </si>
  <si>
    <t>Brown, Kevin J.; Sujeeth, Arvind K.; Lee, Hyouk Joong; Rompf, Tiark; Chafi, Hassan; Odersky, Martin; Olukotun, Kunle</t>
  </si>
  <si>
    <t>A Heterogeneous Parallel Framework for Domain-Specific Languages</t>
  </si>
  <si>
    <t>2011 International Conference on Parallel Architectures and Compilation Techniques</t>
  </si>
  <si>
    <t>10.1109/PACT.2011.15</t>
  </si>
  <si>
    <t>89-100</t>
  </si>
  <si>
    <t>Fonseca, José Roberto; Abreu, Jader; Figueredo, Lucas; Neto, José Gomes; Teichrieb, Veronica; Quintino, Jonysberg P.; da Silva, Fabio Q. B.; Santos, Andre L M; Pinho, Helder</t>
  </si>
  <si>
    <t>Ginput: a tool for fast hi-fi prototyping of gestural interactions in virtual reality</t>
  </si>
  <si>
    <t>2020 IEEE International Symposium on Mixed and Augmented Reality Adjunct (ISMAR-Adjunct)</t>
  </si>
  <si>
    <t>10.1109/ISMAR-Adjunct51615.2020.00030</t>
  </si>
  <si>
    <t>63-64</t>
  </si>
  <si>
    <t>Huang, Xiaobing; Zhao, Tian; Cao, Yu</t>
  </si>
  <si>
    <t>PIR: A Domain Specific Language for Multimedia Retrieval</t>
  </si>
  <si>
    <t>2013 IEEE International Symposium on Multimedia</t>
  </si>
  <si>
    <t>10.1109/ISM.2013.68</t>
  </si>
  <si>
    <t>359-363</t>
  </si>
  <si>
    <t>Fernandes, Daniel A. P. L.; Cardoso, Joao M. P.</t>
  </si>
  <si>
    <t>Accelerating Human Activity Recognition Systems on FPGAs through a DSL approach</t>
  </si>
  <si>
    <t>FSP Workshop 2019; Sixth International Workshop on FPGAs for Software Programmers</t>
  </si>
  <si>
    <t>Varykhanov, Sergey S.; Sinelnikov, Dmitry M.; Odintsev, Viktor V.; Rovnyagin, Mikhail M.; Mingazhitdinova, Elza F.</t>
  </si>
  <si>
    <t>Methods for Speeding Up the Retraining of Neural Networks</t>
  </si>
  <si>
    <t>2022 Conference of Russian Young Researchers in Electrical and Electronic Engineering (ElConRus)</t>
  </si>
  <si>
    <t>10.1109/ElConRus54750.2022.9755557</t>
  </si>
  <si>
    <t>478-481</t>
  </si>
  <si>
    <t>George, Nithin; Lee, HyoukJoong; Novo, David; Rompf, Tiark; Brown, Kevin J.; Sujeeth, Arvind K.; Odersky, Martin; Olukotun, Kunle; Ienne, Paolo</t>
  </si>
  <si>
    <t>Hardware system synthesis from Domain-Specific Languages</t>
  </si>
  <si>
    <t>2014 24th International Conference on Field Programmable Logic and Applications (FPL)</t>
  </si>
  <si>
    <t>10.1109/FPL.2014.6927454</t>
  </si>
  <si>
    <t>Bai, Tong; Zhang, Hongming; Zhang, Jiankang; Xu, Chao; Rawi, Anas F. Al; Hanzo, Lajos</t>
  </si>
  <si>
    <t>Impulsive Noise Mitigation in Digital Subscriber Lines: The State-of-the-Art and Research Opportunities</t>
  </si>
  <si>
    <t>IEEE Communications Magazine</t>
  </si>
  <si>
    <t>10.1109/MCOM.2019.1800858</t>
  </si>
  <si>
    <t>145-151</t>
  </si>
  <si>
    <t>5</t>
  </si>
  <si>
    <t>Tian, Ruiqin; Guo, Luanzheng; Li, Jiajia; Ren, Bin; Kestor, Gokcen</t>
  </si>
  <si>
    <t>A High Performance Sparse Tensor Algebra Compiler in MLIR</t>
  </si>
  <si>
    <t>2021 IEEE/ACM 7th Workshop on the LLVM Compiler Infrastructure in HPC (LLVM-HPC)</t>
  </si>
  <si>
    <t>10.1109/LLVMHPC54804.2021.00009</t>
  </si>
  <si>
    <t>27-38</t>
  </si>
  <si>
    <t>Yan, BingHao; Han, GuoDong; Sun, MeiDong; Ye, ShengZhao</t>
  </si>
  <si>
    <t>A novel region adaptive SMOTE algorithm for intrusion detection on imbalanced problem</t>
  </si>
  <si>
    <t>2017 3rd IEEE International Conference on Computer and Communications (ICCC)</t>
  </si>
  <si>
    <t>10.1109/CompComm.2017.8322749</t>
  </si>
  <si>
    <t>1281-1286</t>
  </si>
  <si>
    <t>Cong, Jason</t>
  </si>
  <si>
    <t>From Parallelization to Customization – Challenges and Opportunities</t>
  </si>
  <si>
    <t>2021 IEEE International Parallel and Distributed Processing Symposium (IPDPS)</t>
  </si>
  <si>
    <t>10.1109/IPDPS49936.2021.00077</t>
  </si>
  <si>
    <t>682-682</t>
  </si>
  <si>
    <t>Wu, Jianqing; Wang, Yihui; Du, Bo; Wu, Qiang; Zhai, Yanlong; Shen, Jun; Zhou, Luping; Cai, Chen; Wei, Wei; Zhou, Qingguo</t>
  </si>
  <si>
    <t>The Bounds of Improvements Toward Real-Time Forecast of Multi-Scenario Train Delays</t>
  </si>
  <si>
    <t>IEEE Transactions on Intelligent Transportation Systems</t>
  </si>
  <si>
    <t>10.1109/TITS.2021.3099031</t>
  </si>
  <si>
    <t>2445-2456</t>
  </si>
  <si>
    <t>Mitra, Vikramjit; Nam, Hosung; Espy-Wilson, Carol Y.; Saltzman, Elliot; Goldstein, Louis</t>
  </si>
  <si>
    <t>Retrieving Tract Variables From Acoustics: A Comparison of Different Machine Learning Strategies</t>
  </si>
  <si>
    <t>IEEE Journal of Selected Topics in Signal Processing</t>
  </si>
  <si>
    <t>10.1109/JSTSP.2010.2076013</t>
  </si>
  <si>
    <t>1027-1045</t>
  </si>
  <si>
    <t>Shim, Simon; Patil, Pradnyesh; Yadav, Rajiv Ramesh; Shinde, Anurag; Devale, Venkatesh</t>
  </si>
  <si>
    <t>DeeperCoder: Code Generation Using Machine Learning</t>
  </si>
  <si>
    <t>2020 10th Annual Computing and Communication Workshop and Conference (CCWC)</t>
  </si>
  <si>
    <t>10.1109/CCWC47524.2020.9031149</t>
  </si>
  <si>
    <t>0194-0199</t>
  </si>
  <si>
    <t>Moreno, Carlos; Crimaldi, Eduardo; Verma, Vinod Kumar; Huerta, Mónica</t>
  </si>
  <si>
    <t>Study of the Effect of Security on Quality of Service on a WebRTC Framework for Videocalls</t>
  </si>
  <si>
    <t>2021 International Symposium on Computer Science and Intelligent Controls (ISCSIC)</t>
  </si>
  <si>
    <t>10.1109/ISCSIC54682.2021.00073</t>
  </si>
  <si>
    <t>374-379</t>
  </si>
  <si>
    <t>Shin, Uisub; Ding, Cong; Zhu, Bingzhao; Vyza, Yashwanth; Trouillet, Alix; Revol, Emilie C. M.; Lacour, Stéphanie P.; Shoaran, Mahsa</t>
  </si>
  <si>
    <t>NeuralTree: A 256-Channel 0.227-μJ/Class Versatile Neural Activity Classification and Closed-Loop Neuromodulation SoC</t>
  </si>
  <si>
    <t>10.1109/JSSC.2022.3204508</t>
  </si>
  <si>
    <t>3243-3257</t>
  </si>
  <si>
    <t>Ertan, Halil; Ezgi Küçükbay, Selver; Yavariabdi, Amir; Kangöz, Nuri; Emre Tiryaki, Ali; Berk Özalp, İren</t>
  </si>
  <si>
    <t>Anomaly Detection on Broadband Network Gateway</t>
  </si>
  <si>
    <t>2020 IEEE International Black Sea Conference on Communications and Networking (BlackSeaCom)</t>
  </si>
  <si>
    <t>10.1109/BlackSeaCom48709.2020.9234957</t>
  </si>
  <si>
    <t>Roberts, Richard; Jones, Timothy; Lewis, John</t>
  </si>
  <si>
    <t>Synthesis of incidental detail as composable components in a functional language</t>
  </si>
  <si>
    <t>2013 28th International Conference on Image and Vision Computing New Zealand (IVCNZ 2013)</t>
  </si>
  <si>
    <t>10.1109/IVCNZ.2013.6727034</t>
  </si>
  <si>
    <t>305-310</t>
  </si>
  <si>
    <t>[Title page i]</t>
  </si>
  <si>
    <t>2010 XXIX International Conference of the Chilean Computer Science Society</t>
  </si>
  <si>
    <t>10.1109/SCCC.2010.1</t>
  </si>
  <si>
    <t>i-i</t>
  </si>
  <si>
    <t>Neeraj, K R; Janardhanan, P S; Francis, Anu Bonia; Murali, Reena</t>
  </si>
  <si>
    <t>A domain specific language for business transaction processing</t>
  </si>
  <si>
    <t>2017 IEEE International Conference on Signal Processing, Informatics, Communication and Energy Systems (SPICES)</t>
  </si>
  <si>
    <t>10.1109/SPICES.2017.8091270</t>
  </si>
  <si>
    <t>1-7</t>
  </si>
  <si>
    <t>Lechevalier, David; Narayanan, Anantha; Rachuri, Sudarsan</t>
  </si>
  <si>
    <t>Towards a domain-specific framework for predictive analytics in manufacturing</t>
  </si>
  <si>
    <t>2014 IEEE International Conference on Big Data (Big Data)</t>
  </si>
  <si>
    <t>10.1109/BigData.2014.7004332</t>
  </si>
  <si>
    <t>987-995</t>
  </si>
  <si>
    <t>Nordmann, Arne; Wrede, Sebastian; Steil, Jochen</t>
  </si>
  <si>
    <t>Modeling of movement control architectures based on motion primitives using domain-specific languages</t>
  </si>
  <si>
    <t>2015 IEEE International Conference on Robotics and Automation (ICRA)</t>
  </si>
  <si>
    <t>10.1109/ICRA.2015.7139899</t>
  </si>
  <si>
    <t>5032-5039</t>
  </si>
  <si>
    <t>Mishev, Kostadin; Gjorgjevikj, Ana; Vodenska, Irena; Chitkushev, Lubomir T.; Trajanov, Dimitar</t>
  </si>
  <si>
    <t>Evaluation of Sentiment Analysis in Finance: From Lexicons to Transformers</t>
  </si>
  <si>
    <t>10.1109/ACCESS.2020.3009626</t>
  </si>
  <si>
    <t>131662-131682</t>
  </si>
  <si>
    <t>Batchelor, Oliver; Green, Richard</t>
  </si>
  <si>
    <t>Cloud Haskell: First impressions and applications to processing large image datasets</t>
  </si>
  <si>
    <t>10.1109/IVCNZ.2013.6727050</t>
  </si>
  <si>
    <t>412-417</t>
  </si>
  <si>
    <t>Häser, Florian; Felderer, Michael; Breu, Ruth</t>
  </si>
  <si>
    <t>Test Process Improvement with Documentation Driven Integration Testing</t>
  </si>
  <si>
    <t>2014 9th International Conference on the Quality of Information and Communications Technology</t>
  </si>
  <si>
    <t>10.1109/QUATIC.2014.29</t>
  </si>
  <si>
    <t>156-161</t>
  </si>
  <si>
    <t>Demırcı, Denız; şahın, Nazenın; şirlancis, Melıh; Acarturk, Cengiz</t>
  </si>
  <si>
    <t>Static Malware Detection Using Stacked BiLSTM and GPT-2</t>
  </si>
  <si>
    <t>10.1109/ACCESS.2022.3179384</t>
  </si>
  <si>
    <t>58488-58502</t>
  </si>
  <si>
    <t>Aghababaie Beni, Laleh; Ramanan, Saikiran; Chandramowlishwaran, Aparna</t>
  </si>
  <si>
    <t>Portal: A High-Performance Language and Compiler for Parallel N-Body Problems</t>
  </si>
  <si>
    <t>2019 IEEE International Parallel and Distributed Processing Symposium (IPDPS)</t>
  </si>
  <si>
    <t>10.1109/IPDPS.2019.00106</t>
  </si>
  <si>
    <t>984-995</t>
  </si>
  <si>
    <t>Wang, Qingyu; Nakashima, Takuji; Kanehira, Taiga; Mutsuda, Hidemi</t>
  </si>
  <si>
    <t>A Python Toolbox for Surrogate-based Optimization</t>
  </si>
  <si>
    <t>2022 IEEE 12th International Conference on Electronics Information and Emergency Communication (ICEIEC)</t>
  </si>
  <si>
    <t>10.1109/ICEIEC54567.2022.9835067</t>
  </si>
  <si>
    <t>80-84</t>
  </si>
  <si>
    <t>Toutiaee, Mohammadhossein; Miller, John A.</t>
  </si>
  <si>
    <t>Gaussian Function On Response Surface Estimation</t>
  </si>
  <si>
    <t>2020 IEEE International Conference on Big Data (Big Data)</t>
  </si>
  <si>
    <t>10.1109/BigData50022.2020.9378132</t>
  </si>
  <si>
    <t>1097-1102</t>
  </si>
  <si>
    <t>Neema, Himanshu; Volgyesi, Peter; Koutsoukos, Xenofon; Roth, Thomas; Nguyen, Cuong</t>
  </si>
  <si>
    <t>Online Testbed for Evaluating Vulnerability of Deep Learning Based Power Grid Load Forecasters</t>
  </si>
  <si>
    <t>2020 8th Workshop on Modeling and Simulation of Cyber-Physical Energy Systems</t>
  </si>
  <si>
    <t>10.1109/MSCPES49613.2020.9133701</t>
  </si>
  <si>
    <t>RABBAH, Jalal; RIDOUANI, Mohammed; HASSOUNI, Larbi</t>
  </si>
  <si>
    <t>A New Classification Model Based on Stacknet and Deep Learning for Fast Detection of COVID 19 Through X Rays Images</t>
  </si>
  <si>
    <t>2020 Fourth International Conference On Intelligent Computing in Data Sciences (ICDS)</t>
  </si>
  <si>
    <t>10.1109/ICDS50568.2020.9268777</t>
  </si>
  <si>
    <t>Rangel-Patiño, Francisco Elias; Rayas-Sánchez, José Ernesto; Viveros-Wacher, Andres; Chávez-Hurtado, José Luis; Vega-Ochoa, Edgar Andrei; Hakim, Nagib</t>
  </si>
  <si>
    <t>Post-Silicon Receiver Equalization Metamodeling by Artificial Neural Networks</t>
  </si>
  <si>
    <t>IEEE Transactions on Computer-Aided Design of Integrated Circuits and Systems</t>
  </si>
  <si>
    <t>10.1109/TCAD.2018.2834403</t>
  </si>
  <si>
    <t>733-740</t>
  </si>
  <si>
    <t>Toscano, Gregorio; Deb, Kalyanmoy</t>
  </si>
  <si>
    <t>Study of the approximation of the fitness landscape and the ranking process of scalarizing functions for many-objective problems</t>
  </si>
  <si>
    <t>2016 IEEE Congress on Evolutionary Computation (CEC)</t>
  </si>
  <si>
    <t>10.1109/CEC.2016.7744344</t>
  </si>
  <si>
    <t>4358-4365</t>
  </si>
  <si>
    <t>Lee, Hyun-Suk</t>
  </si>
  <si>
    <t>Channel Metamodeling for Explainable Data-Driven Channel Model</t>
  </si>
  <si>
    <t>IEEE Wireless Communications Letters</t>
  </si>
  <si>
    <t>10.1109/LWC.2021.3111874</t>
  </si>
  <si>
    <t>2678-2682</t>
  </si>
  <si>
    <t>Yoon, Sungho; Kim, Ayoung</t>
  </si>
  <si>
    <t>Balanced Depth Completion between Dense Depth Inference and Sparse Range Measurements via KISS-GP</t>
  </si>
  <si>
    <t>2020 IEEE/RSJ International Conference on Intelligent Robots and Systems (IROS)</t>
  </si>
  <si>
    <t>10.1109/IROS45743.2020.9341769</t>
  </si>
  <si>
    <t>10468-10475</t>
  </si>
  <si>
    <t>Zhang, Heng; Zhang, Zhichao; Zhang, Shunqing; Xu, Shugong; Cao, Shan</t>
  </si>
  <si>
    <t>Fingerprint-Based Localization Using Commercial LTE Signals: A Field-Trial Study</t>
  </si>
  <si>
    <t>2019 IEEE 90th Vehicular Technology Conference (VTC2019-Fall)</t>
  </si>
  <si>
    <t>10.1109/VTCFall.2019.8891257</t>
  </si>
  <si>
    <t>1-5</t>
  </si>
  <si>
    <t>Dao, Thien-Thanh; Pham, Quoc-Viet; Hwang, Won-Joo</t>
  </si>
  <si>
    <t>FastMDE: A Fast CNN Architecture for Monocular Depth Estimation at High Resolution</t>
  </si>
  <si>
    <t>10.1109/ACCESS.2022.3145969</t>
  </si>
  <si>
    <t>16111-16122</t>
  </si>
  <si>
    <t>Sasmal, Pradipta; Paul, Avinash; Bhuyan, M. K.; Iwahori, Yuji; Kasugai, Kunio</t>
  </si>
  <si>
    <t>Extraction of Key-Frames From Endoscopic Videos by Using Depth Information</t>
  </si>
  <si>
    <t>10.1109/ACCESS.2021.3126835</t>
  </si>
  <si>
    <t>153004-153011</t>
  </si>
  <si>
    <t>Miao, Hui; Li, Ang; Davis, Larry S.; Deshpande, Amol</t>
  </si>
  <si>
    <t>Towards Unified Data and Lifecycle Management for Deep Learning</t>
  </si>
  <si>
    <t>2017 IEEE 33rd International Conference on Data Engineering (ICDE)</t>
  </si>
  <si>
    <t>10.1109/ICDE.2017.112</t>
  </si>
  <si>
    <t>571-582</t>
  </si>
  <si>
    <t>Dou, Peng; Shen, Huanfeng; Li, Zhiwei; Guan, Xiaobin; Huang, Wenli</t>
  </si>
  <si>
    <t>Remote Sensing Image Classification Using Deep–Shallow Learning</t>
  </si>
  <si>
    <t>IEEE Journal of Selected Topics in Applied Earth Observations and Remote Sensing</t>
  </si>
  <si>
    <t>10.1109/JSTARS.2021.3062635</t>
  </si>
  <si>
    <t>3070-3083</t>
  </si>
  <si>
    <t>Eda, Takeharu; Muramatsu, Sanae; Enomoto, Shohei; Xu, Shi</t>
  </si>
  <si>
    <t>An Expandable Deep Learning Inference Framework With Adjustability to Workload Requirement</t>
  </si>
  <si>
    <t>2019 IEEE International Conference on Image Processing (ICIP)</t>
  </si>
  <si>
    <t>10.1109/ICIP.2019.8803385</t>
  </si>
  <si>
    <t>2454-2454</t>
  </si>
  <si>
    <t>Behmandpoor, Pourya; Verdyck, Jeroen; Moonen, Marc</t>
  </si>
  <si>
    <t>Deep Learning-Based Cross-Layer Resource Allocation for Wired Communication Systems</t>
  </si>
  <si>
    <t>ICASSP 2021 - 2021 IEEE International Conference on Acoustics, Speech and Signal Processing (ICASSP)</t>
  </si>
  <si>
    <t>10.1109/ICASSP39728.2021.9413777</t>
  </si>
  <si>
    <t>4120-4124</t>
  </si>
  <si>
    <t>Li, Xinxin; Shang, Tianqi; Peng, Dezhong; Shi, Xiaoyu</t>
  </si>
  <si>
    <t>Deep Sentiment Learning Network for Temporal-aware Recommendation Based on User Reviews</t>
  </si>
  <si>
    <t>2021 IEEE 6th International Conference on Big Data Analytics (ICBDA)</t>
  </si>
  <si>
    <t>10.1109/ICBDA51983.2021.9402954</t>
  </si>
  <si>
    <t>339-343</t>
  </si>
  <si>
    <t>Aşiroğlu, Batuhan; Senan, Sibel; Görgel, Pelin; Isenkul, M. Erdem; Ensari, Tolga; Sezen, Alper; Dağtekin, Mustafa</t>
  </si>
  <si>
    <t>A Deep Learning Based Object Detection System for User Interface Code Generation</t>
  </si>
  <si>
    <t>2022 International Congress on Human-Computer Interaction, Optimization and Robotic Applications (HORA)</t>
  </si>
  <si>
    <t>10.1109/HORA55278.2022.9799941</t>
  </si>
  <si>
    <t>Shim, Y.; Lim, H.; Ha, Y.; Kim, S.; Lee, I.; Jeong, S.</t>
  </si>
  <si>
    <t>A JOINT FRAMEWORK FOR DISTILLING THE EXPERTISE IN ELECTRIC POWER UTILITY DOMAIN WITH GENBERT</t>
  </si>
  <si>
    <t>CIRED 2021 - The 26th International Conference and Exhibition on Electricity Distribution</t>
  </si>
  <si>
    <t>10.1049/icp.2021.2165</t>
  </si>
  <si>
    <t>1331-1335</t>
  </si>
  <si>
    <t>ModelHub: Deep Learning Lifecycle Management</t>
  </si>
  <si>
    <t>10.1109/ICDE.2017.192</t>
  </si>
  <si>
    <t>1393-1394</t>
  </si>
  <si>
    <t>Ramachandran, R.; Ramasubramanian, M.; Koirala, P.; Gurung, I.; Maskey, M.</t>
  </si>
  <si>
    <t>Language Model for Earth Science: Exploring Potential Downstream Applications as well as Current Challenges</t>
  </si>
  <si>
    <t>10.1109/IGARSS46834.2022.9883682</t>
  </si>
  <si>
    <t>4015-4018</t>
  </si>
  <si>
    <t>Karam, Ralph; Salomon, Michel; Couturier, Raphaël</t>
  </si>
  <si>
    <t>Supervised ADS-B Anomaly Detection Using a False Data Generator</t>
  </si>
  <si>
    <t>2022 2nd International Conference on Computer, Control and Robotics (ICCCR)</t>
  </si>
  <si>
    <t>10.1109/ICCCR54399.2022.9790149</t>
  </si>
  <si>
    <t>218-223</t>
  </si>
  <si>
    <t>Liu, Zhuang; Huang, Degen; Huang, Kaiyu</t>
  </si>
  <si>
    <t>Pretraining Financial Text Encoder Enhanced by Lifelong Learning</t>
  </si>
  <si>
    <t>10.1109/ACCESS.2020.3027622</t>
  </si>
  <si>
    <t>184036-184044</t>
  </si>
  <si>
    <t>Wang, Yuhong; Li, Xin</t>
  </si>
  <si>
    <t>Neural-Guided Inductive Synthesis of Functional Programs on List Manipulation by Offline Supervised Learning</t>
  </si>
  <si>
    <t>10.1109/ACCESS.2021.3079351</t>
  </si>
  <si>
    <t>71521-71534</t>
  </si>
  <si>
    <t>Ziheng, JI</t>
  </si>
  <si>
    <t>State-of-the-Art survey of deep learning based sketch retrieval</t>
  </si>
  <si>
    <t>2020 International Conference on Artificial Intelligence and Computer Engineering (ICAICE)</t>
  </si>
  <si>
    <t>10.1109/ICAICE51518.2020.00008</t>
  </si>
  <si>
    <t>6-14</t>
  </si>
  <si>
    <t>Ben Romdhane, Lamia; Sleiman, Hassan A.; Mraidha, Chokri; Dhouib, Saadia</t>
  </si>
  <si>
    <t>Multi-agent solutions for energy systems: A model driven approach</t>
  </si>
  <si>
    <t>2017 22nd IEEE International Conference on Emerging Technologies and Factory Automation (ETFA)</t>
  </si>
  <si>
    <t>10.1109/ETFA.2017.8247715</t>
  </si>
  <si>
    <t>1-4</t>
  </si>
  <si>
    <t>Shokooh, Shervin; Nordvik, Geir</t>
  </si>
  <si>
    <t>A Model-Driven Approach for Situational Intelligence &amp; Operational Awareness</t>
  </si>
  <si>
    <t>2019 Petroleum and Chemical Industry Conference Europe (PCIC EUROPE)</t>
  </si>
  <si>
    <t>10.23919/PCICEurope46863.2019.9011632</t>
  </si>
  <si>
    <t>Yague, Agustin; Garbajosa, Juan</t>
  </si>
  <si>
    <t>Applying the Knowledge Stored in Systems Models to Derve Validation Tools and Environments</t>
  </si>
  <si>
    <t>6th IEEE International Conference on Cognitive Informatics</t>
  </si>
  <si>
    <t>10.1109/COGINF.2007.4341915</t>
  </si>
  <si>
    <t>391-400</t>
  </si>
  <si>
    <t>Ziaei, Mahdi; Zamani, Bahman; Bohlooli, Ali</t>
  </si>
  <si>
    <t>A Model-Driven Approach for IoT-Based Monitoring Systems in Industry 4.0</t>
  </si>
  <si>
    <t>2020 4th International Conference on Smart City, Internet of Things and Applications (SCIOT)</t>
  </si>
  <si>
    <t>10.1109/SCIOT50840.2020.9250202</t>
  </si>
  <si>
    <t>99-105</t>
  </si>
  <si>
    <t>Table of contents</t>
  </si>
  <si>
    <t>IEEE 7th International Conference on Research Challenges in Information Science (RCIS)</t>
  </si>
  <si>
    <t>10.1109/RCIS.2013.6577673</t>
  </si>
  <si>
    <t>Farias, F. S.; Borges, G. S.; Rodrigues, Roberto M.; Santana, Á. L.; Costa, J. C. W. A.</t>
  </si>
  <si>
    <t>Real-time noise identification in DSL systems using computational intelligence algorithms</t>
  </si>
  <si>
    <t>2013 International Conference on Advanced Technologies for Communications (ATC 2013)</t>
  </si>
  <si>
    <t>10.1109/ATC.2013.6698116</t>
  </si>
  <si>
    <t>252-255</t>
  </si>
  <si>
    <t>Dharwadkar, S. N.; Masood, Nabegha</t>
  </si>
  <si>
    <t>Next Generation Network</t>
  </si>
  <si>
    <t>2007 IEEE International Symposium on Consumer Electronics</t>
  </si>
  <si>
    <t>10.1109/ISCE.2007.4382215</t>
  </si>
  <si>
    <t>XDAEMNW4</t>
  </si>
  <si>
    <t>AdaptiveVLE: An Integrated Framework for Personalized Online Education Using MPS JetBrains Domain-Specific Modeling Environment</t>
  </si>
  <si>
    <t>10.1109/ACCESS.2020.3029888</t>
  </si>
  <si>
    <t>184621-184632</t>
  </si>
  <si>
    <t>White, S.; Hernandez, R.; Bodzinga, A.; Bocker, G.-J.</t>
  </si>
  <si>
    <t>The intelligent broadband access network</t>
  </si>
  <si>
    <t>11th International Telecommunications Network Strategy and Planning Symposium. NETWORKS 2004,</t>
  </si>
  <si>
    <t>10.1109/NETWKS.2004.241222</t>
  </si>
  <si>
    <t>2004</t>
  </si>
  <si>
    <t>417-422</t>
  </si>
  <si>
    <t>Malila, Bessie; Falowo, Olabisis; Ventura, Neco</t>
  </si>
  <si>
    <t>Performance analysis of NLOS small cell backhaul using 17GHz point-to-point prototype radio</t>
  </si>
  <si>
    <t>2016 18th Mediterranean Electrotechnical Conference (MELECON)</t>
  </si>
  <si>
    <t>10.1109/MELCON.2016.7495387</t>
  </si>
  <si>
    <t>López, V.; Jimenez, R.; de Dios, O. Gonzalez; Contreras, L.M.; Palacios, J.P. Fernandez</t>
  </si>
  <si>
    <t>Open Source Netphony suite: Enabling multi-layer network programmability</t>
  </si>
  <si>
    <t>2017 International Conference on Optical Network Design and Modeling (ONDM)</t>
  </si>
  <si>
    <t>10.23919/ONDM.2017.7958538</t>
  </si>
  <si>
    <t>Heppner, Andrew; Pawar, Atish; Kivi, Daniel; Mago, Vijay</t>
  </si>
  <si>
    <t>Automating Articulation: Applying Natural Language Processing to Post-Secondary Credit Transfer</t>
  </si>
  <si>
    <t>10.1109/ACCESS.2019.2910145</t>
  </si>
  <si>
    <t>48295-48306</t>
  </si>
  <si>
    <t>Harbin, James; Gerasimou, Simos; Matragkas, Nicholas; Zolotas, Athanasios; Calinescu, Radu</t>
  </si>
  <si>
    <t>Model-Driven Simulation-Based Analysis for Multi-Robot Systems</t>
  </si>
  <si>
    <t>10.1109/MODELS50736.2021.00040</t>
  </si>
  <si>
    <t>331-341</t>
  </si>
  <si>
    <t>Xing, Jinjiang; Zhu, Hua; Li, Liang; Zou, Xuemei</t>
  </si>
  <si>
    <t>The unified scheduling language designed for the space mission scheduling platform</t>
  </si>
  <si>
    <t>2016 IEEE Aerospace Conference</t>
  </si>
  <si>
    <t>10.1109/AERO.2016.7500602</t>
  </si>
  <si>
    <t>Bataleblu, Ali A.; Roshanian, J.</t>
  </si>
  <si>
    <t>Robust trajectory optimization of space launch vehicle using computational intelligence</t>
  </si>
  <si>
    <t>2015 IEEE Congress on Evolutionary Computation (CEC)</t>
  </si>
  <si>
    <t>10.1109/CEC.2015.7257318</t>
  </si>
  <si>
    <t>3418-3425</t>
  </si>
  <si>
    <t>Li, S.; Harnefors, L.; Iwasaki, M.</t>
  </si>
  <si>
    <t>Modeling, Analysis, and Advanced Control in Motion Control Systems—Part I</t>
  </si>
  <si>
    <t>IEEE Transactions on Industrial Electronics</t>
  </si>
  <si>
    <t>10.1109/TIE.2016.2589220</t>
  </si>
  <si>
    <t>5709-5711</t>
  </si>
  <si>
    <t>Power, Christopher; Paige, Richard</t>
  </si>
  <si>
    <t>Content Personalization for Inclusive Education through Model-Driven Engineering</t>
  </si>
  <si>
    <t>Universal Access in Human-Computer Interaction. Applications and Services</t>
  </si>
  <si>
    <t>978-3-642-02712-3 978-3-642-02713-0</t>
  </si>
  <si>
    <t>http://link.springer.com/10.1007/978-3-642-02713-0_11</t>
  </si>
  <si>
    <t>102-109</t>
  </si>
  <si>
    <t>Springer Berlin Heidelberg</t>
  </si>
  <si>
    <t>Series Title: Lecture Notes in Computer Science DOI: 10.1007/978-3-642-02713-0_11</t>
  </si>
  <si>
    <t>Laforcade, Pierre; Laghouaouta, Youness</t>
  </si>
  <si>
    <t>Supporting the Adaptive Generation of Learning Game Scenarios with a Model-Driven Engineering Framework</t>
  </si>
  <si>
    <t>Lifelong Technology-Enhanced Learning</t>
  </si>
  <si>
    <t>978-3-319-98571-8 978-3-319-98572-5</t>
  </si>
  <si>
    <t>http://link.springer.com/10.1007/978-3-319-98572-5_12</t>
  </si>
  <si>
    <t>151-165</t>
  </si>
  <si>
    <t>Springer International Publishing</t>
  </si>
  <si>
    <t>Cham</t>
  </si>
  <si>
    <t>Series Title: Lecture Notes in Computer Science DOI: 10.1007/978-3-319-98572-5_12</t>
  </si>
  <si>
    <t>Morales, Sergio; Clarisó, Robert; Cabot, Jordi</t>
  </si>
  <si>
    <t>Towards a DSL for AI Engineering Process Modeling</t>
  </si>
  <si>
    <t>Product-Focused Software Process Improvement</t>
  </si>
  <si>
    <t>https://link.springer.com/10.1007/978-3-031-21388-5_4</t>
  </si>
  <si>
    <t>53-60</t>
  </si>
  <si>
    <t>DOI: 10.1007/978-3-031-21388-5_4 Series Title: Lecture Notes in Computer Science</t>
  </si>
  <si>
    <t>Penserini, Loris; Dignum, Virginia; Staikopoulos, Athanasios; Aldewereld, Huib; Dignum, Frank</t>
  </si>
  <si>
    <t>Balancing Organizational Regulation and Agent Autonomy: An MDE-Based Approach</t>
  </si>
  <si>
    <t>Engineering Societies in the Agents World X</t>
  </si>
  <si>
    <t>978-3-642-10202-8 978-3-642-10203-5</t>
  </si>
  <si>
    <t>http://link.springer.com/10.1007/978-3-642-10203-5_17</t>
  </si>
  <si>
    <t>197-212</t>
  </si>
  <si>
    <t>Series Title: Lecture Notes in Computer Science DOI: 10.1007/978-3-642-10203-5_17</t>
  </si>
  <si>
    <t>Rivas, Juan M.; Gutiérrez, J. Javier; Aldea, Mario; Cuevas, César; González Harbour, Michael; Drake, José María; Medina, Julio L.; Rioux, Laurent; Henia, Rafik; Sordon, Nicolas</t>
  </si>
  <si>
    <t>An Experience Integrating Response-Time Analysis and Optimization with an MDE Strategy</t>
  </si>
  <si>
    <t>Software Technologies: Applications and Foundations</t>
  </si>
  <si>
    <t>978-3-319-50229-8 978-3-319-50230-4</t>
  </si>
  <si>
    <t>http://link.springer.com/10.1007/978-3-319-50230-4_23</t>
  </si>
  <si>
    <t>303-316</t>
  </si>
  <si>
    <t>Series Title: Lecture Notes in Computer Science DOI: 10.1007/978-3-319-50230-4_23</t>
  </si>
  <si>
    <t>do Nascimento, Francisco Assis Moreira; da Silva Oliveira, Marcio Ferreira; Wagner, Flávio Rech</t>
  </si>
  <si>
    <t>Formal Verification for Embedded Systems Design Based on MDE</t>
  </si>
  <si>
    <t>Analysis, Architectures and Modelling of Embedded Systems</t>
  </si>
  <si>
    <t>978-3-642-04283-6 978-3-642-04284-3</t>
  </si>
  <si>
    <t>http://link.springer.com/10.1007/978-3-642-04284-3_15</t>
  </si>
  <si>
    <t>159-170</t>
  </si>
  <si>
    <t>Series Title: IFIP Advances in Information and Communication Technology DOI: 10.1007/978-3-642-04284-3_15</t>
  </si>
  <si>
    <t>Silva, Robson; Mota, Alexandre; Starr, Rodrigo Rizzi</t>
  </si>
  <si>
    <t>Formal MDE-Based Tool Development</t>
  </si>
  <si>
    <t>Integration of Reusable Systems</t>
  </si>
  <si>
    <t>978-3-319-04716-4 978-3-319-04717-1</t>
  </si>
  <si>
    <t>http://link.springer.com/10.1007/978-3-319-04717-1_5</t>
  </si>
  <si>
    <t>105-125</t>
  </si>
  <si>
    <t>Series Title: Advances in Intelligent Systems and Computing DOI: 10.1007/978-3-319-04717-1_5</t>
  </si>
  <si>
    <t>Visconti, Ennio; Tsigkanos, Christos; Hu, Zhenjiang; Ghezzi, Carlo</t>
  </si>
  <si>
    <t>Model-driven engineering city spaces via bidirectional model transformations</t>
  </si>
  <si>
    <t>Software and Systems Modeling</t>
  </si>
  <si>
    <t>1619-1366, 1619-1374</t>
  </si>
  <si>
    <t>10.1007/s10270-020-00851-0</t>
  </si>
  <si>
    <t>https://link.springer.com/10.1007/s10270-020-00851-0</t>
  </si>
  <si>
    <t>2003-2022</t>
  </si>
  <si>
    <t>Moss, Andrew; Muller, Henk</t>
  </si>
  <si>
    <t>Efficient Code Generation for a Domain Specific Language</t>
  </si>
  <si>
    <t>Generative Programming and Component Engineering</t>
  </si>
  <si>
    <t>978-3-540-29138-1 978-3-540-31977-1</t>
  </si>
  <si>
    <t>http://link.springer.com/10.1007/11561347_5</t>
  </si>
  <si>
    <t>47-62</t>
  </si>
  <si>
    <t>Series Title: Lecture Notes in Computer Science DOI: 10.1007/11561347_5</t>
  </si>
  <si>
    <t>Oudart, David; Cantenot, Jérôme; Boulanger, Frédéric; Chabridon, Sophie</t>
  </si>
  <si>
    <t>The Smart Grid Simulation Framework: Model-Driven Engineering Applied to Cyber-Physical Systems</t>
  </si>
  <si>
    <t>Model-Driven Engineering and Software Development</t>
  </si>
  <si>
    <t>978-3-030-67444-1 978-3-030-67445-8</t>
  </si>
  <si>
    <t>http://link.springer.com/10.1007/978-3-030-67445-8_1</t>
  </si>
  <si>
    <t>3-25</t>
  </si>
  <si>
    <t>Series Title: Communications in Computer and Information Science DOI: 10.1007/978-3-030-67445-8_1</t>
  </si>
  <si>
    <t>Heeren, Bastiaan; Jeuring, Johan</t>
  </si>
  <si>
    <t>An Extensible Domain-Specific Language for Describing Problem-Solving Procedures</t>
  </si>
  <si>
    <t>Artificial Intelligence in Education</t>
  </si>
  <si>
    <t>978-3-319-61424-3 978-3-319-61425-0</t>
  </si>
  <si>
    <t>http://link.springer.com/10.1007/978-3-319-61425-0_7</t>
  </si>
  <si>
    <t>77-89</t>
  </si>
  <si>
    <t>Series Title: Lecture Notes in Computer Science DOI: 10.1007/978-3-319-61425-0_7</t>
  </si>
  <si>
    <t>Bucchiarone, Antonio; Cabot, Jordi; Paige, Richard F.; Pierantonio, Alfonso</t>
  </si>
  <si>
    <t>Grand challenges in model-driven engineering: an analysis of the state of the research</t>
  </si>
  <si>
    <t>10.1007/s10270-019-00773-6</t>
  </si>
  <si>
    <t>http://link.springer.com/10.1007/s10270-019-00773-6</t>
  </si>
  <si>
    <t>2020-01</t>
  </si>
  <si>
    <t>5-13</t>
  </si>
  <si>
    <t>Maschotta, R.; Silatsa, N.; Jungebloud, T.; Hammer, M.; Zimmermann, A.</t>
  </si>
  <si>
    <t>An OCL Implementation for Model-Driven Engineering of C++</t>
  </si>
  <si>
    <t>Software Engineering Research, Management and Applications</t>
  </si>
  <si>
    <t>978-3-031-09144-5 978-3-031-09145-2</t>
  </si>
  <si>
    <t>https://link.springer.com/10.1007/978-3-031-09145-2_10</t>
  </si>
  <si>
    <t>151-168</t>
  </si>
  <si>
    <t>Series Title: Studies in Computational Intelligence DOI: 10.1007/978-3-031-09145-2_10</t>
  </si>
  <si>
    <t>Burgueño, Lola; Cabot, Jordi; Wimmer, Manuel; Zschaler, Steffen</t>
  </si>
  <si>
    <t>Guest editorial to the theme section on AI-enhanced model-driven engineering</t>
  </si>
  <si>
    <t>10.1007/s10270-022-00988-0</t>
  </si>
  <si>
    <t>https://link.springer.com/10.1007/s10270-022-00988-0</t>
  </si>
  <si>
    <t>2022-06</t>
  </si>
  <si>
    <t>963-965</t>
  </si>
  <si>
    <t>Stinstra, Erwin; Rennen, Gijs; Teeuwen, Geert</t>
  </si>
  <si>
    <t>Metamodeling by symbolic regression and Pareto simulated annealing</t>
  </si>
  <si>
    <t>Structural and Multidisciplinary Optimization</t>
  </si>
  <si>
    <t>1615-147X, 1615-1488</t>
  </si>
  <si>
    <t>10.1007/s00158-007-0132-4</t>
  </si>
  <si>
    <t>https://link.springer.com/10.1007/s00158-007-0132-4</t>
  </si>
  <si>
    <t>2008-04</t>
  </si>
  <si>
    <t>315-326</t>
  </si>
  <si>
    <t>Hoyos, José R.; Preuveneers, Davy; García-Molina, Jesús J.; Berbers, Yolande</t>
  </si>
  <si>
    <t>A DSL for Context Quality Modeling in Context-Aware Applications</t>
  </si>
  <si>
    <t>Ambient Intelligence - Software and Applications</t>
  </si>
  <si>
    <t>978-3-642-19936-3 978-3-642-19937-0</t>
  </si>
  <si>
    <t>http://link.springer.com/10.1007/978-3-642-19937-0_6</t>
  </si>
  <si>
    <t>41-49</t>
  </si>
  <si>
    <t>Series Title: Advances in Intelligent and Soft Computing DOI: 10.1007/978-3-642-19937-0_6</t>
  </si>
  <si>
    <t>Tiller, Michael</t>
  </si>
  <si>
    <t>Multi-Domain Modeling</t>
  </si>
  <si>
    <t>Introduction to Physical Modeling with Modelica</t>
  </si>
  <si>
    <t>978-1-4613-5615-8 978-1-4615-1561-6</t>
  </si>
  <si>
    <t>http://link.springer.com/10.1007/978-1-4615-1561-6_10</t>
  </si>
  <si>
    <t>231-253</t>
  </si>
  <si>
    <t>Springer US</t>
  </si>
  <si>
    <t>Boston, MA</t>
  </si>
  <si>
    <t>DOI: 10.1007/978-1-4615-1561-6_10</t>
  </si>
  <si>
    <t>Boussaïd, Ilhem; Siarry, Patrick; Ahmed-Nacer, Mohamed</t>
  </si>
  <si>
    <t>A survey on search-based model-driven engineering</t>
  </si>
  <si>
    <t>Automated Software Engineering</t>
  </si>
  <si>
    <t>0928-8910, 1573-7535</t>
  </si>
  <si>
    <t>10.1007/s10515-017-0215-4</t>
  </si>
  <si>
    <t>http://link.springer.com/10.1007/s10515-017-0215-4</t>
  </si>
  <si>
    <t>2017-06</t>
  </si>
  <si>
    <t>233-294</t>
  </si>
  <si>
    <t>Maazouz, Hamid El; Wachsmuth, Guido; Sevenich, Martin; Chiadmi, Dalila; Hong, Sungpack; Chafi, Hassan</t>
  </si>
  <si>
    <t>A DSL-Based Framework for Performance Assessment</t>
  </si>
  <si>
    <t>Innovation in Information Systems and Technologies to Support Learning Research</t>
  </si>
  <si>
    <t>978-3-030-36777-0 978-3-030-36778-7</t>
  </si>
  <si>
    <t>http://link.springer.com/10.1007/978-3-030-36778-7_28</t>
  </si>
  <si>
    <t>260-270</t>
  </si>
  <si>
    <t>Series Title: Learning and Analytics in Intelligent Systems DOI: 10.1007/978-3-030-36778-7_28</t>
  </si>
  <si>
    <t>Glimm, Birte; Rudolph, Sebastian; Völker, Johanna</t>
  </si>
  <si>
    <t>Integrated Metamodeling and Diagnosis in OWL 2</t>
  </si>
  <si>
    <t>The Semantic Web – ISWC 2010</t>
  </si>
  <si>
    <t>978-3-642-17745-3 978-3-642-17746-0</t>
  </si>
  <si>
    <t>https://link.springer.com/10.1007/978-3-642-17746-0_17</t>
  </si>
  <si>
    <t>257-272</t>
  </si>
  <si>
    <t>Series Title: Lecture Notes in Computer Science DOI: 10.1007/978-3-642-17746-0_17</t>
  </si>
  <si>
    <t>Liao, Wanbin; Huang, Hulin; Wang, Xinyao</t>
  </si>
  <si>
    <t>Requirement Analysis of Complex System Based on DSL</t>
  </si>
  <si>
    <t>Proceedings of 2021 International Conference on Autonomous Unmanned Systems (ICAUS 2021)</t>
  </si>
  <si>
    <t>9789811694912 9789811694929</t>
  </si>
  <si>
    <t>https://link.springer.com/10.1007/978-981-16-9492-9_329</t>
  </si>
  <si>
    <t>3351-3359</t>
  </si>
  <si>
    <t>Springer Singapore</t>
  </si>
  <si>
    <t>Singapore</t>
  </si>
  <si>
    <t>Series Title: Lecture Notes in Electrical Engineering DOI: 10.1007/978-981-16-9492-9_329</t>
  </si>
  <si>
    <t>Zhu, Meng; Wang, Alf Inge</t>
  </si>
  <si>
    <t>RAIL: A Domain-Specific Language for Generating NPC Behaviors in Action/Adventure Game</t>
  </si>
  <si>
    <t>Advances in Computer Entertainment Technology</t>
  </si>
  <si>
    <t>978-3-319-76269-2 978-3-319-76270-8</t>
  </si>
  <si>
    <t>http://link.springer.com/10.1007/978-3-319-76270-8_58</t>
  </si>
  <si>
    <t>868-881</t>
  </si>
  <si>
    <t>Series Title: Lecture Notes in Computer Science DOI: 10.1007/978-3-319-76270-8_58</t>
  </si>
  <si>
    <t>Kalnins, Audris; Lace, Lelde; Kalnina, Elina; Sostaks, Agris</t>
  </si>
  <si>
    <t>DSL Based Platform for Business Process Management</t>
  </si>
  <si>
    <t>SOFSEM 2014: Theory and Practice of Computer Science</t>
  </si>
  <si>
    <t>978-3-319-04297-8 978-3-319-04298-5</t>
  </si>
  <si>
    <t>http://link.springer.com/10.1007/978-3-319-04298-5_31</t>
  </si>
  <si>
    <t>351-362</t>
  </si>
  <si>
    <t>Series Title: Lecture Notes in Computer Science DOI: 10.1007/978-3-319-04298-5_31</t>
  </si>
  <si>
    <t>Sabbadini, Letizia</t>
  </si>
  <si>
    <t>Il DSL con DSM, DCM, disprassia e deficit delle FE</t>
  </si>
  <si>
    <t>Disturbi specifici del linguaggio, disprassie e funzioni esecutive</t>
  </si>
  <si>
    <t>978-88-470-5348-9 978-88-470-5349-6</t>
  </si>
  <si>
    <t>http://link.springer.com/10.1007/978-88-470-5349-6_6</t>
  </si>
  <si>
    <t>107-111</t>
  </si>
  <si>
    <t>Springer Milan</t>
  </si>
  <si>
    <t>Milano</t>
  </si>
  <si>
    <t>DOI: 10.1007/978-88-470-5349-6_6</t>
  </si>
  <si>
    <t>Widl, Magdalena</t>
  </si>
  <si>
    <t>Test Case Generation by Grammar-Based Fuzzing for Model-Driven Engineering</t>
  </si>
  <si>
    <t>Hardware and Software: Verification and Testing</t>
  </si>
  <si>
    <t>978-3-642-39610-6 978-3-642-39611-3</t>
  </si>
  <si>
    <t>http://link.springer.com/10.1007/978-3-642-39611-3_28</t>
  </si>
  <si>
    <t>278-279</t>
  </si>
  <si>
    <t>Series Title: Lecture Notes in Computer Science DOI: 10.1007/978-3-642-39611-3_28</t>
  </si>
  <si>
    <t>Feltus, Christophe; Ma, Qin; Proper, Henderik A.; Kelsen, Pierre</t>
  </si>
  <si>
    <t>Towards AI Assisted Domain Modeling</t>
  </si>
  <si>
    <t>Advances in Conceptual Modeling</t>
  </si>
  <si>
    <t>978-3-030-88357-7 978-3-030-88358-4</t>
  </si>
  <si>
    <t>https://link.springer.com/10.1007/978-3-030-88358-4_7</t>
  </si>
  <si>
    <t>75-89</t>
  </si>
  <si>
    <t>DOI: 10.1007/978-3-030-88358-4_7 Series Title: Lecture Notes in Computer Science</t>
  </si>
  <si>
    <t>Naganarayana, B P; Huang, B Z</t>
  </si>
  <si>
    <t>Multi-Domain Modeling of Delaminated Stiffened Composite Shells</t>
  </si>
  <si>
    <t>Contemporary Research in Engineering Science</t>
  </si>
  <si>
    <t>978-3-642-80003-0 978-3-642-80001-6</t>
  </si>
  <si>
    <t>http://link.springer.com/10.1007/978-3-642-80001-6_22</t>
  </si>
  <si>
    <t>368-392</t>
  </si>
  <si>
    <t>DOI: 10.1007/978-3-642-80001-6_22</t>
  </si>
  <si>
    <t>Liu, Haitao; Ong, Yew-Soon; Cai, Jianfei</t>
  </si>
  <si>
    <t>A survey of adaptive sampling for global metamodeling in support of simulation-based complex engineering design</t>
  </si>
  <si>
    <t>10.1007/s00158-017-1739-8</t>
  </si>
  <si>
    <t>http://link.springer.com/10.1007/s00158-017-1739-8</t>
  </si>
  <si>
    <t>2018-01</t>
  </si>
  <si>
    <t>393-416</t>
  </si>
  <si>
    <t>Ochieng, W. Y.; Sheridan, K. F.; Sauer, K.; Han, X.; Cross, P. A.; Lannelongue, S.; Ammour, N.; Petit, K.</t>
  </si>
  <si>
    <t>An Assessment of the RAIM Performance of a Combined Galileo/GPS Navigation System Using the Marginally Detectable Errors (MDE) Algorithm</t>
  </si>
  <si>
    <t>GPS Solutions</t>
  </si>
  <si>
    <t>1080-5370, 1521-1886</t>
  </si>
  <si>
    <t>10.1007/PL00012898</t>
  </si>
  <si>
    <t>http://link.springer.com/10.1007/PL00012898</t>
  </si>
  <si>
    <t>2002-01</t>
  </si>
  <si>
    <t>42-51</t>
  </si>
  <si>
    <t>Rosa, André; Amaral, Vasco; Barroca, Bruno</t>
  </si>
  <si>
    <t>Designing a DSL Solution for the Domain of Augmented Reality Software Applications Specification</t>
  </si>
  <si>
    <t>Learning by Playing. Game-based Education System Design and Development</t>
  </si>
  <si>
    <t>978-3-642-03363-6 978-3-642-03364-3</t>
  </si>
  <si>
    <t>http://link.springer.com/10.1007/978-3-642-03364-3_51</t>
  </si>
  <si>
    <t>423-434</t>
  </si>
  <si>
    <t>Series Title: Lecture Notes in Computer Science DOI: 10.1007/978-3-642-03364-3_51</t>
  </si>
  <si>
    <t>Ahmed, Iftikhar; Khoo, Eng Huat; Li, Erping</t>
  </si>
  <si>
    <t>Time Domain Modeling and Simulation from Nanoelectronics to Nanophotonics</t>
  </si>
  <si>
    <t>Computational Electromagnetics—Retrospective and Outlook</t>
  </si>
  <si>
    <t>978-981-287-094-0 978-981-287-095-7</t>
  </si>
  <si>
    <t>http://link.springer.com/10.1007/978-981-287-095-7_8</t>
  </si>
  <si>
    <t>185-223</t>
  </si>
  <si>
    <t>DOI: 10.1007/978-981-287-095-7_8</t>
  </si>
  <si>
    <t>Bouchelligua, Wided; Mezhoudi, Nesrine; Mahfoudhi, Adel; Daassi, Olfa; Abed, Mourad</t>
  </si>
  <si>
    <t>An MDE Parameterized Transformation for Adaptive User Interfaces</t>
  </si>
  <si>
    <t>Intelligent Interactive Multimedia Systems and Services</t>
  </si>
  <si>
    <t>978-3-642-14618-3 978-3-642-14619-0</t>
  </si>
  <si>
    <t>http://link.springer.com/10.1007/978-3-642-14619-0_26</t>
  </si>
  <si>
    <t>275-286</t>
  </si>
  <si>
    <t>Series Title: Smart Innovation, Systems and Technologies DOI: 10.1007/978-3-642-14619-0_26</t>
  </si>
  <si>
    <t>Ayala, Inmaculada; Amor, Mercedes; Fuentes, Lidia</t>
  </si>
  <si>
    <t>Towards the Automatic Derivation of Malaca Agents Using MDE</t>
  </si>
  <si>
    <t>Agent-Oriented Software Engineering XI</t>
  </si>
  <si>
    <t>978-3-642-22635-9 978-3-642-22636-6</t>
  </si>
  <si>
    <t>http://link.springer.com/10.1007/978-3-642-22636-6_8</t>
  </si>
  <si>
    <t>128-147</t>
  </si>
  <si>
    <t>Series Title: Lecture Notes in Computer Science DOI: 10.1007/978-3-642-22636-6_8</t>
  </si>
  <si>
    <t>Batot, Edouard R.; Sahraoui, Houari</t>
  </si>
  <si>
    <t>Promoting social diversity for the automated learning of complex MDE artifacts</t>
  </si>
  <si>
    <t>10.1007/s10270-021-00969-9</t>
  </si>
  <si>
    <t>https://link.springer.com/10.1007/s10270-021-00969-9</t>
  </si>
  <si>
    <t>1159-1178</t>
  </si>
  <si>
    <t>Poltronieri, Ildevana; Pedroso, Allan Christopher; Zorzo, Avelino Francisco; Bernardino, Maicon; de Borba Campos, Marcia</t>
  </si>
  <si>
    <t>Is Usability Evaluation of DSL Still a Trending Topic?</t>
  </si>
  <si>
    <t>Human-Computer Interaction. Theory, Methods and Tools</t>
  </si>
  <si>
    <t>978-3-030-78461-4 978-3-030-78462-1</t>
  </si>
  <si>
    <t>https://link.springer.com/10.1007/978-3-030-78462-1_23</t>
  </si>
  <si>
    <t>299-317</t>
  </si>
  <si>
    <t>Series Title: Lecture Notes in Computer Science DOI: 10.1007/978-3-030-78462-1_23</t>
  </si>
  <si>
    <t>227PU6N9</t>
  </si>
  <si>
    <t>García-Díaz, Vicente; Tolosa, Jose Barranquero; G-Bustelo, B. Cristina Pelayo; Palacios-González, Elías; Sanjuan-Martínez, Óscar; Crespo, Rubén González</t>
  </si>
  <si>
    <t>TALISMAN MDE Framework: An Architecture for Intelligent Model-Driven Engineering</t>
  </si>
  <si>
    <t>Distributed Computing, Artificial Intelligence, Bioinformatics, Soft Computing, and Ambient Assisted Living</t>
  </si>
  <si>
    <t>978-3-642-02480-1 978-3-642-02481-8</t>
  </si>
  <si>
    <t>http://link.springer.com/10.1007/978-3-642-02481-8_43</t>
  </si>
  <si>
    <t>299-306</t>
  </si>
  <si>
    <t>Series Title: Lecture Notes in Computer Science DOI: 10.1007/978-3-642-02481-8_43</t>
  </si>
  <si>
    <t>Rastogi, Aseem; Swamy, Nikhil; Hicks, Michael</t>
  </si>
  <si>
    <t>$$\textsc {Wys}^\star $$ : A DSL for Verified Secure Multi-party Computations</t>
  </si>
  <si>
    <t>Principles of Security and Trust</t>
  </si>
  <si>
    <t>978-3-030-17137-7 978-3-030-17138-4</t>
  </si>
  <si>
    <t>http://link.springer.com/10.1007/978-3-030-17138-4_5</t>
  </si>
  <si>
    <t>99-122</t>
  </si>
  <si>
    <t>Series Title: Lecture Notes in Computer Science DOI: 10.1007/978-3-030-17138-4_5</t>
  </si>
  <si>
    <t>Di Rocco, Juri; Di Ruscio, Davide; Härtel, Johannes; Iovino, Ludovico; Lämmel, Ralf; Pierantonio, Alfonso</t>
  </si>
  <si>
    <t>Understanding MDE projects: megamodels to the rescue for architecture recovery</t>
  </si>
  <si>
    <t>10.1007/s10270-019-00748-7</t>
  </si>
  <si>
    <t>http://link.springer.com/10.1007/s10270-019-00748-7</t>
  </si>
  <si>
    <t>2020-03</t>
  </si>
  <si>
    <t>401-423</t>
  </si>
  <si>
    <t>Romani, Zaid; Draoui, Abdeslam; Allard, Francis</t>
  </si>
  <si>
    <t>Metamodeling and multicriteria analysis for sustainable and passive residential building refurbishment: A case study of French housing stock</t>
  </si>
  <si>
    <t>Building Simulation</t>
  </si>
  <si>
    <t>1996-3599, 1996-8744</t>
  </si>
  <si>
    <t>10.1007/s12273-021-0806-7</t>
  </si>
  <si>
    <t>https://link.springer.com/10.1007/s12273-021-0806-7</t>
  </si>
  <si>
    <t>2022-03</t>
  </si>
  <si>
    <t>453-472</t>
  </si>
  <si>
    <t>Coutaz, J.; Balme, L.; Alvaro, X.; Calvary, G.; Demeure, A.; Sottet, J. -S.</t>
  </si>
  <si>
    <t>An MDE-SOA Approach to Support Plastic User Interfaces in Ambient Spaces</t>
  </si>
  <si>
    <t>Universal Access in Human-Computer Interaction. Ambient Interaction</t>
  </si>
  <si>
    <t>978-3-540-73280-8 978-3-540-73281-5</t>
  </si>
  <si>
    <t>http://link.springer.com/10.1007/978-3-540-73281-5_7</t>
  </si>
  <si>
    <t>63-72</t>
  </si>
  <si>
    <t>Series Title: Lecture Notes in Computer Science DOI: 10.1007/978-3-540-73281-5_7</t>
  </si>
  <si>
    <t>Baker, Paul; Loh, Shiou; Weil, Frank</t>
  </si>
  <si>
    <t>Model-Driven Engineering in a Large Industrial Context — Motorola Case Study</t>
  </si>
  <si>
    <t>Model Driven Engineering Languages and Systems</t>
  </si>
  <si>
    <t>978-3-540-29010-0 978-3-540-32057-9</t>
  </si>
  <si>
    <t>http://link.springer.com/10.1007/11557432_36</t>
  </si>
  <si>
    <t>476-491</t>
  </si>
  <si>
    <t>Series Title: Lecture Notes in Computer Science DOI: 10.1007/11557432_36</t>
  </si>
  <si>
    <t>Choi, Joonwon; Chlipala, Adam; Arvind</t>
  </si>
  <si>
    <t>Hemiola: A DSL and Verification Tools to Guide Design and Proof of Hierarchical Cache-Coherence Protocols</t>
  </si>
  <si>
    <t>Computer Aided Verification</t>
  </si>
  <si>
    <t>978-3-031-13187-5 978-3-031-13188-2</t>
  </si>
  <si>
    <t>https://link.springer.com/10.1007/978-3-031-13188-2_16</t>
  </si>
  <si>
    <t>317-339</t>
  </si>
  <si>
    <t>Series Title: Lecture Notes in Computer Science DOI: 10.1007/978-3-031-13188-2_16</t>
  </si>
  <si>
    <t>Kezadri Hamiaz, Mounira; Pantel, Marc; Thirioux, Xavier; Combemale, Benoit</t>
  </si>
  <si>
    <t>Correct-by-construction model driven engineering composition operators</t>
  </si>
  <si>
    <t>Formal Aspects of Computing</t>
  </si>
  <si>
    <t>0934-5043, 1433-299X</t>
  </si>
  <si>
    <t>10.1007/s00165-016-0354-6</t>
  </si>
  <si>
    <t>https://dl.acm.org/doi/10.1007/s00165-016-0354-6</t>
  </si>
  <si>
    <t>2016-05</t>
  </si>
  <si>
    <t>409-440</t>
  </si>
  <si>
    <t>Menet, Ludovic; Lamolle, Myriam</t>
  </si>
  <si>
    <t>A Model Driven Engineering Approach Applied to Master Data Management</t>
  </si>
  <si>
    <t>On the Move to Meaningful Internet Systems: OTM 2009 Workshops</t>
  </si>
  <si>
    <t>978-3-642-05289-7 978-3-642-05290-3</t>
  </si>
  <si>
    <t>http://link.springer.com/10.1007/978-3-642-05290-3_10</t>
  </si>
  <si>
    <t>19-28</t>
  </si>
  <si>
    <t>Series Title: Lecture Notes in Computer Science DOI: 10.1007/978-3-642-05290-3_10</t>
  </si>
  <si>
    <t>Staab, Steffen; Walter, Tobias; Gröner, Gerd; Parreiras, Fernando Silva</t>
  </si>
  <si>
    <t>Model Driven Engineering with Ontology Technologies</t>
  </si>
  <si>
    <t>Reasoning Web. Semantic Technologies for Software Engineering</t>
  </si>
  <si>
    <t>978-3-642-15542-0 978-3-642-15543-7</t>
  </si>
  <si>
    <t>http://link.springer.com/10.1007/978-3-642-15543-7_3</t>
  </si>
  <si>
    <t>62-98</t>
  </si>
  <si>
    <t>Series Title: Lecture Notes in Computer Science DOI: 10.1007/978-3-642-15543-7_3</t>
  </si>
  <si>
    <t>Kaewchinporn, Chinnapat; Limpiyakorn, Yachai</t>
  </si>
  <si>
    <t>Semantic Approach to Verifying Activity Diagrams with a Domain Specific Language</t>
  </si>
  <si>
    <t>Computer Applications for Software Engineering, Disaster Recovery, and Business Continuity</t>
  </si>
  <si>
    <t>978-3-642-35266-9 978-3-642-35267-6</t>
  </si>
  <si>
    <t>http://link.springer.com/10.1007/978-3-642-35267-6_62</t>
  </si>
  <si>
    <t>466-473</t>
  </si>
  <si>
    <t>Series Title: Communications in Computer and Information Science DOI: 10.1007/978-3-642-35267-6_62</t>
  </si>
  <si>
    <t>Vieira, Marcos Alves; Carvalho, Sergio T.</t>
  </si>
  <si>
    <t>Building Models for Ubiquitous Application Development in a Model-Driven Engineering Approach</t>
  </si>
  <si>
    <t>Special Topics in Multimedia, IoT and Web Technologies</t>
  </si>
  <si>
    <t>978-3-030-35101-4 978-3-030-35102-1</t>
  </si>
  <si>
    <t>http://link.springer.com/10.1007/978-3-030-35102-1_5</t>
  </si>
  <si>
    <t>115-147</t>
  </si>
  <si>
    <t>DOI: 10.1007/978-3-030-35102-1_5</t>
  </si>
  <si>
    <t>Grosser, V.; Kranz, H.-W.; Seide, K.; Wolter, D.</t>
  </si>
  <si>
    <t>Die Einschätzung der MdE nach Fersenbeinbrüchen — Qualitätsspiegel für Therapeuten oder Gutachter?</t>
  </si>
  <si>
    <t>Gutachtenkolloquium 15</t>
  </si>
  <si>
    <t>978-3-540-41009-6 978-3-642-56746-9</t>
  </si>
  <si>
    <t>http://link.springer.com/10.1007/978-3-642-56746-9_21</t>
  </si>
  <si>
    <t>139-146</t>
  </si>
  <si>
    <t>DOI: 10.1007/978-3-642-56746-9_21</t>
  </si>
  <si>
    <t>Santos, Alexandre Beraldi; Calado, Robisom Damasceno; Chaves, Sandra Maria do Amaral; Nascimento, Stephanie D’Amato; Silva, Messias Borges; Bourguignon, Saulo Cabral</t>
  </si>
  <si>
    <t>MDE-S: A Case Study of the Health Company Diagnostic Method Applied in Three Health Units</t>
  </si>
  <si>
    <t>Advances in Production Management Systems. Artificial Intelligence for Sustainable and Resilient Production Systems</t>
  </si>
  <si>
    <t>978-3-030-85901-5 978-3-030-85902-2</t>
  </si>
  <si>
    <t>https://link.springer.com/10.1007/978-3-030-85902-2_33</t>
  </si>
  <si>
    <t>305-313</t>
  </si>
  <si>
    <t>Series Title: IFIP Advances in Information and Communication Technology DOI: 10.1007/978-3-030-85902-2_33</t>
  </si>
  <si>
    <t>Bodenbenner, M.; Sanders, M. P.; Montavon, B.; Schmitt, R. H.</t>
  </si>
  <si>
    <t>Domain-Specific Language for Sensors in the Internet of Production</t>
  </si>
  <si>
    <t>Production at the leading edge of technology</t>
  </si>
  <si>
    <t>978-3-662-62137-0 978-3-662-62138-7</t>
  </si>
  <si>
    <t>http://link.springer.com/10.1007/978-3-662-62138-7_45</t>
  </si>
  <si>
    <t>448-456</t>
  </si>
  <si>
    <t>Series Title: Lecture Notes in Production Engineering DOI: 10.1007/978-3-662-62138-7_45</t>
  </si>
  <si>
    <t>Drave, Imke; Michael, Judith; Müller, Erik; Rumpe, Bernhard; Varga, Simon</t>
  </si>
  <si>
    <t>Model-Driven Engineering of Process-Aware Information Systems</t>
  </si>
  <si>
    <t>SN Computer Science</t>
  </si>
  <si>
    <t>2661-8907</t>
  </si>
  <si>
    <t>10.1007/s42979-022-01334-3</t>
  </si>
  <si>
    <t>https://link.springer.com/10.1007/s42979-022-01334-3</t>
  </si>
  <si>
    <t>2022-09-14</t>
  </si>
  <si>
    <t>479</t>
  </si>
  <si>
    <t>Vazquez, Miguel; Chagoyen, Monica; Pascual-Montano, Alberto</t>
  </si>
  <si>
    <t>Named Entity Recognition and Normalization: A Domain-Specific Language Approach</t>
  </si>
  <si>
    <t>2nd International Workshop on Practical Applications of Computational Biology and Bioinformatics (IWPACBB 2008)</t>
  </si>
  <si>
    <t>978-3-540-85860-7 978-3-540-85861-4</t>
  </si>
  <si>
    <t>http://link.springer.com/10.1007/978-3-540-85861-4_18</t>
  </si>
  <si>
    <t>147-155</t>
  </si>
  <si>
    <t>ISSN: 1615-3871, 1860-0794 Series Title: Advances in Soft Computing DOI: 10.1007/978-3-540-85861-4_18</t>
  </si>
  <si>
    <t>Chenouard, Raphael; Hartmann, Chris; Bernard, Alain; Mermoz, Emmanuel</t>
  </si>
  <si>
    <t>Computational Design Synthesis Using Model-Driven Engineering and Constraint Programming</t>
  </si>
  <si>
    <t>http://link.springer.com/10.1007/978-3-319-50230-4_20</t>
  </si>
  <si>
    <t>265-273</t>
  </si>
  <si>
    <t>Series Title: Lecture Notes in Computer Science DOI: 10.1007/978-3-319-50230-4_20</t>
  </si>
  <si>
    <t>Ahamed, Syed V.; Lawrence, Victor B.</t>
  </si>
  <si>
    <t>Data Bases and Their Management for DSL Design Studies</t>
  </si>
  <si>
    <t>Design and Engineering of Intelligent Communication Systems</t>
  </si>
  <si>
    <t>978-1-4613-7888-4 978-1-4615-6291-7</t>
  </si>
  <si>
    <t>http://link.springer.com/10.1007/978-1-4615-6291-7_8</t>
  </si>
  <si>
    <t>1997</t>
  </si>
  <si>
    <t>319-335</t>
  </si>
  <si>
    <t>DOI: 10.1007/978-1-4615-6291-7_8</t>
  </si>
  <si>
    <t>Criado, Javier; Iribarne, Luis; Padilla, Nicolás</t>
  </si>
  <si>
    <t>Resolving Platform Specific Models at Runtime Using an MDE-Based Trading Approach</t>
  </si>
  <si>
    <t>On the Move to Meaningful Internet Systems: OTM 2013 Workshops</t>
  </si>
  <si>
    <t>978-3-642-41032-1 978-3-642-41033-8</t>
  </si>
  <si>
    <t>http://link.springer.com/10.1007/978-3-642-41033-8_36</t>
  </si>
  <si>
    <t>274-283</t>
  </si>
  <si>
    <t>Series Title: Lecture Notes in Computer Science DOI: 10.1007/978-3-642-41033-8_36</t>
  </si>
  <si>
    <t>Zolotas, Athanasios; Matragkas, Nicholas; Devlin, Sam; Kolovos, Dimitrios S.; Paige, Richard F.</t>
  </si>
  <si>
    <t>Type inference in flexible model-driven engineering using classification algorithms</t>
  </si>
  <si>
    <t>Software &amp; Systems Modeling</t>
  </si>
  <si>
    <t>10.1007/s10270-018-0658-5</t>
  </si>
  <si>
    <t>http://link.springer.com/10.1007/s10270-018-0658-5</t>
  </si>
  <si>
    <t>2019-02</t>
  </si>
  <si>
    <t>345-366</t>
  </si>
  <si>
    <t>Tanev, Stoyan; Tuchin, Valery V.; Paddon, Paul</t>
  </si>
  <si>
    <t>FINITE-DIFFERENCE TIME-DOMAIN MODELING OF LIGHT SCATTERING FROM BIOLOGICAL CELLS CONTAINING GOLD NANOPARTICLES</t>
  </si>
  <si>
    <t>Photon-based Nanoscience and Nanobiotechnology</t>
  </si>
  <si>
    <t>978-1-4020-5521-8</t>
  </si>
  <si>
    <t>http://link.springer.com/10.1007/978-1-4020-5523-2_5</t>
  </si>
  <si>
    <t>97-119</t>
  </si>
  <si>
    <t>Springer Netherlands</t>
  </si>
  <si>
    <t>Dordrecht</t>
  </si>
  <si>
    <t>Series Title: NATO Science Series DOI: 10.1007/978-1-4020-5523-2_5</t>
  </si>
  <si>
    <t>Reinhart, Zachary T.; Suram, Sunil; Bryden, Kenneth M.</t>
  </si>
  <si>
    <t>A Domain Specific Language to Simplify the Creation of Large Scale Federated Model Sets</t>
  </si>
  <si>
    <t>Environmental Software Systems. Computer Science for Environmental Protection</t>
  </si>
  <si>
    <t>978-3-319-89934-3 978-3-319-89935-0</t>
  </si>
  <si>
    <t>https://link.springer.com/10.1007/978-3-319-89935-0_35</t>
  </si>
  <si>
    <t>420-432</t>
  </si>
  <si>
    <t>Series Title: IFIP Advances in Information and Communication Technology DOI: 10.1007/978-3-319-89935-0_35</t>
  </si>
  <si>
    <t>Pineda, Israel; Zhunio, Cristopher; Camacho, Franklin; Fonseca-Delgado, Rigoberto</t>
  </si>
  <si>
    <t>RAPL: A Domain Specific Language for Resource Allocation of Indivisible Goods</t>
  </si>
  <si>
    <t>Information and Communication Technologies</t>
  </si>
  <si>
    <t>978-3-030-62832-1 978-3-030-62833-8</t>
  </si>
  <si>
    <t>https://link.springer.com/10.1007/978-3-030-62833-8_35</t>
  </si>
  <si>
    <t>479-492</t>
  </si>
  <si>
    <t>Series Title: Communications in Computer and Information Science DOI: 10.1007/978-3-030-62833-8_35</t>
  </si>
  <si>
    <t>Sikri, Monika</t>
  </si>
  <si>
    <t>Design of Domain Specific Language for Web Services QoS Constraints Definition</t>
  </si>
  <si>
    <t>Information Technology and Mobile Communication</t>
  </si>
  <si>
    <t>978-3-642-20572-9 978-3-642-20573-6</t>
  </si>
  <si>
    <t>http://link.springer.com/10.1007/978-3-642-20573-6_73</t>
  </si>
  <si>
    <t>411-416</t>
  </si>
  <si>
    <t>Series Title: Communications in Computer and Information Science DOI: 10.1007/978-3-642-20573-6_73</t>
  </si>
  <si>
    <t>Kachi, Fatma; Bouanaka, Chafia</t>
  </si>
  <si>
    <t>Aster: A DSL for Engineering Self-Adaptive Systems</t>
  </si>
  <si>
    <t>Advances in Computing Systems and Applications</t>
  </si>
  <si>
    <t>978-3-031-12096-1 978-3-031-12097-8</t>
  </si>
  <si>
    <t>https://link.springer.com/10.1007/978-3-031-12097-8_4</t>
  </si>
  <si>
    <t>39-49</t>
  </si>
  <si>
    <t>Series Title: Lecture Notes in Networks and Systems DOI: 10.1007/978-3-031-12097-8_4</t>
  </si>
  <si>
    <t>Bergenti, Federico; Iotti, Eleonora; Poggi, Agostino</t>
  </si>
  <si>
    <t>Core Features of an Agent-Oriented Domain-Specific Language for JADE Agents</t>
  </si>
  <si>
    <t>Trends in Practical Applications of Scalable Multi-Agent Systems, the PAAMS Collection</t>
  </si>
  <si>
    <t>978-3-319-40158-4 978-3-319-40159-1</t>
  </si>
  <si>
    <t>http://link.springer.com/10.1007/978-3-319-40159-1_18</t>
  </si>
  <si>
    <t>213-224</t>
  </si>
  <si>
    <t>Series Title: Advances in Intelligent Systems and Computing DOI: 10.1007/978-3-319-40159-1_18</t>
  </si>
  <si>
    <t>Chang, Harry</t>
  </si>
  <si>
    <t>Enriching Domain-Specific Language Models Using Domain Independent WWW N-Gram Corpus</t>
  </si>
  <si>
    <t>Artificial Intelligence and Soft Computing</t>
  </si>
  <si>
    <t>978-3-642-29349-8 978-3-642-29350-4</t>
  </si>
  <si>
    <t>http://link.springer.com/10.1007/978-3-642-29350-4_5</t>
  </si>
  <si>
    <t>38-46</t>
  </si>
  <si>
    <t>Series Title: Lecture Notes in Computer Science DOI: 10.1007/978-3-642-29350-4_5</t>
  </si>
  <si>
    <t>Kumar, Amruth N.</t>
  </si>
  <si>
    <t>Model-Based Reasoning for Domain Modeling in a Web-Based Intelligent Tutoring System to Help Students Learn to Debug C++ Programs</t>
  </si>
  <si>
    <t>Intelligent Tutoring Systems</t>
  </si>
  <si>
    <t>978-3-540-43750-5 978-3-540-47987-1</t>
  </si>
  <si>
    <t>http://link.springer.com/10.1007/3-540-47987-2_79</t>
  </si>
  <si>
    <t>2002</t>
  </si>
  <si>
    <t>792-801</t>
  </si>
  <si>
    <t>Series Title: Lecture Notes in Computer Science DOI: 10.1007/3-540-47987-2_79</t>
  </si>
  <si>
    <t>Takano, Keisuke; Oda, Tetsuya; Kohata, Masaki</t>
  </si>
  <si>
    <t>Design of a DSL for Converting Rust Programming Language into RTL</t>
  </si>
  <si>
    <t>Advances in Internet, Data and Web Technologies</t>
  </si>
  <si>
    <t>978-3-030-39745-6 978-3-030-39746-3</t>
  </si>
  <si>
    <t>http://link.springer.com/10.1007/978-3-030-39746-3_36</t>
  </si>
  <si>
    <t>342-350</t>
  </si>
  <si>
    <t>Series Title: Lecture Notes on Data Engineering and Communications Technologies DOI: 10.1007/978-3-030-39746-3_36</t>
  </si>
  <si>
    <t>Cendrillon, Raphael; Liming, Fang; Chou, James; Long, Guozhu; Wei, Dong</t>
  </si>
  <si>
    <t>Challenges and Solutions in Vectored DSL</t>
  </si>
  <si>
    <t>Access Networks</t>
  </si>
  <si>
    <t>978-3-642-11663-6 978-3-642-11664-3</t>
  </si>
  <si>
    <t>http://link.springer.com/10.1007/978-3-642-11664-3_15</t>
  </si>
  <si>
    <t>192-203</t>
  </si>
  <si>
    <t>Series Title: Lecture Notes of the Institute for Computer Sciences, Social Informatics and Telecommunications Engineering DOI: 10.1007/978-3-642-11664-3_15</t>
  </si>
  <si>
    <t>Jouault, Frédéric; Bézivin, Jean; Barbero, Mikaël</t>
  </si>
  <si>
    <t>Towards an advanced model-driven engineering toolbox</t>
  </si>
  <si>
    <t>Innovations in Systems and Software Engineering</t>
  </si>
  <si>
    <t>1614-5046, 1614-5054</t>
  </si>
  <si>
    <t>10.1007/s11334-009-0082-7</t>
  </si>
  <si>
    <t>http://link.springer.com/10.1007/s11334-009-0082-7</t>
  </si>
  <si>
    <t>2009-03</t>
  </si>
  <si>
    <t>5-12</t>
  </si>
  <si>
    <t>Álvarez, Manuel Álvarez; G-Bustelo, B. Cristina Pelayo; Sanjuán-Martínez, Oscar; Lovelle, Juan Manuel Cueva</t>
  </si>
  <si>
    <t>Bridging together Semantic Web and Model-Driven Engineering</t>
  </si>
  <si>
    <t>Distributed Computing and Artificial Intelligence</t>
  </si>
  <si>
    <t>978-3-642-14882-8 978-3-642-14883-5</t>
  </si>
  <si>
    <t>http://link.springer.com/10.1007/978-3-642-14883-5_76</t>
  </si>
  <si>
    <t>601-604</t>
  </si>
  <si>
    <t>Series Title: Advances in Intelligent and Soft Computing DOI: 10.1007/978-3-642-14883-5_76</t>
  </si>
  <si>
    <t>Shen, Liming; Chen, Xueyi; Liu, Richen; Wang, Hailong; Ji, Genlin</t>
  </si>
  <si>
    <t>Domain-Specific Language Techniques for Visual Computing: A Comprehensive Study</t>
  </si>
  <si>
    <t>Archives of Computational Methods in Engineering</t>
  </si>
  <si>
    <t>1134-3060, 1886-1784</t>
  </si>
  <si>
    <t>10.1007/s11831-020-09492-4</t>
  </si>
  <si>
    <t>https://link.springer.com/10.1007/s11831-020-09492-4</t>
  </si>
  <si>
    <t>2021-06</t>
  </si>
  <si>
    <t>3113-3134</t>
  </si>
  <si>
    <t>Li, Xuan-Song; Tao, Xian-Ping; Song, Wei; Dong, Kai</t>
  </si>
  <si>
    <t>AocML: A Domain-Specific Language for Model-Driven Development of Activity-Oriented Context-Aware Applications</t>
  </si>
  <si>
    <t>Journal of Computer Science and Technology</t>
  </si>
  <si>
    <t>1000-9000, 1860-4749</t>
  </si>
  <si>
    <t>10.1007/s11390-018-1865-9</t>
  </si>
  <si>
    <t>http://link.springer.com/10.1007/s11390-018-1865-9</t>
  </si>
  <si>
    <t>2018-09</t>
  </si>
  <si>
    <t>900-917</t>
  </si>
  <si>
    <t>Giorgidze, George; Nilsson, Henrik</t>
  </si>
  <si>
    <t>Mixed-Level Embedding and JIT Compilation for an Iteratively Staged DSL</t>
  </si>
  <si>
    <t>Functional and Constraint Logic Programming</t>
  </si>
  <si>
    <t>978-3-642-20774-7 978-3-642-20775-4</t>
  </si>
  <si>
    <t>http://link.springer.com/10.1007/978-3-642-20775-4_3</t>
  </si>
  <si>
    <t>48-65</t>
  </si>
  <si>
    <t>Series Title: Lecture Notes in Computer Science DOI: 10.1007/978-3-642-20775-4_3</t>
  </si>
  <si>
    <t>Alulema, Darwin; Criado, Javier; Iribarne, Luis; Fernández-García, Antonio Jesús; Ayala, Rosa</t>
  </si>
  <si>
    <t>A model-driven engineering approach for the service integration of IoT systems</t>
  </si>
  <si>
    <t>Cluster Computing</t>
  </si>
  <si>
    <t>1386-7857, 1573-7543</t>
  </si>
  <si>
    <t>10.1007/s10586-020-03150-x</t>
  </si>
  <si>
    <t>https://link.springer.com/10.1007/s10586-020-03150-x</t>
  </si>
  <si>
    <t>2020-09</t>
  </si>
  <si>
    <t>1937-1954</t>
  </si>
  <si>
    <t>Brandt, Felix; Brandt, Eric; Ghofrani, Javad; Heik, David; Reichelt, Dirk</t>
  </si>
  <si>
    <t>Asset Administration Shell: Domain Specific Language Approach to Integrate Heterogeneous Device Endpoints</t>
  </si>
  <si>
    <t>Proceedings of the Future Technologies Conference (FTC) 2020, Volume 3</t>
  </si>
  <si>
    <t>978-3-030-63091-1 978-3-030-63092-8</t>
  </si>
  <si>
    <t>http://link.springer.com/10.1007/978-3-030-63092-8_72</t>
  </si>
  <si>
    <t>1044-1052</t>
  </si>
  <si>
    <t>Series Title: Advances in Intelligent Systems and Computing DOI: 10.1007/978-3-030-63092-8_72</t>
  </si>
  <si>
    <t>Sedlmajer, Nicolas; Buchs, Didier; Hostettler, Steve; Linard, Alban; López Bóbeda, Edmundo; Marechal, Alexis</t>
  </si>
  <si>
    <t>A Domain Specific Language Approach for Genetic Regulatory Mechanisms Analysis</t>
  </si>
  <si>
    <t>Transactions on Petri Nets and Other Models of Concurrency VI</t>
  </si>
  <si>
    <t>978-3-642-35178-5 978-3-642-35179-2</t>
  </si>
  <si>
    <t>http://link.springer.com/10.1007/978-3-642-35179-2_6</t>
  </si>
  <si>
    <t>123-145</t>
  </si>
  <si>
    <t>Series Title: Lecture Notes in Computer Science DOI: 10.1007/978-3-642-35179-2_6</t>
  </si>
  <si>
    <t>Glennane, Eoin; Geraghty, John</t>
  </si>
  <si>
    <t>Metamodeling of Deteriorating Reusable Articles in a Closed Loop Supply Chain</t>
  </si>
  <si>
    <t>978-3-030-85873-5 978-3-030-85874-2</t>
  </si>
  <si>
    <t>https://link.springer.com/10.1007/978-3-030-85874-2_21</t>
  </si>
  <si>
    <t>198-207</t>
  </si>
  <si>
    <t>Series Title: IFIP Advances in Information and Communication Technology DOI: 10.1007/978-3-030-85874-2_21</t>
  </si>
  <si>
    <t>Saouma, Victor E.; Hariri-Ardebili, M. Amin; Saouma, Victor E.; Hariri-Ardebili, M. Amin</t>
  </si>
  <si>
    <t>Metamodeling and Machine Learning</t>
  </si>
  <si>
    <t>Aging, Shaking, and Cracking of Infrastructures</t>
  </si>
  <si>
    <t>978-3-030-57433-8 978-3-030-57434-5</t>
  </si>
  <si>
    <t>https://link.springer.com/10.1007/978-3-030-57434-5_20</t>
  </si>
  <si>
    <t>485-515</t>
  </si>
  <si>
    <t>DOI: 10.1007/978-3-030-57434-5_20</t>
  </si>
  <si>
    <t>Vijayakumar, Aadheeshwar; Abhishek, D.; Chandrasekaran, K.</t>
  </si>
  <si>
    <t>DSL Approach for Development of Gaming Applications</t>
  </si>
  <si>
    <t>Information Systems Design and Intelligent Applications</t>
  </si>
  <si>
    <t>978-81-322-2753-3 978-81-322-2755-7</t>
  </si>
  <si>
    <t>http://link.springer.com/10.1007/978-81-322-2755-7_21</t>
  </si>
  <si>
    <t>199-211</t>
  </si>
  <si>
    <t>Springer India</t>
  </si>
  <si>
    <t>New Delhi</t>
  </si>
  <si>
    <t>Series Title: Advances in Intelligent Systems and Computing DOI: 10.1007/978-81-322-2755-7_21</t>
  </si>
  <si>
    <t>Gorissen, Dirk; Couckuyt, Ivo; Laermans, Eric; Dhaene, Tom</t>
  </si>
  <si>
    <t>Pareto-Based Multi-output Metamodeling with Active Learning</t>
  </si>
  <si>
    <t>Engineering Applications of Neural Networks</t>
  </si>
  <si>
    <t>978-3-642-03968-3 978-3-642-03969-0</t>
  </si>
  <si>
    <t>http://link.springer.com/10.1007/978-3-642-03969-0_36</t>
  </si>
  <si>
    <t>389-400</t>
  </si>
  <si>
    <t>Series Title: Communications in Computer and Information Science DOI: 10.1007/978-3-642-03969-0_36</t>
  </si>
  <si>
    <t>Vu, Linh H.; Haxthausen, Anne E.; Peleska, Jan</t>
  </si>
  <si>
    <t>A Domain-Specific Language for Generic Interlocking Models and Their Properties</t>
  </si>
  <si>
    <t>Reliability, Safety, and Security of Railway Systems. Modelling, Analysis, Verification, and Certification</t>
  </si>
  <si>
    <t>978-3-319-68498-7 978-3-319-68499-4</t>
  </si>
  <si>
    <t>http://link.springer.com/10.1007/978-3-319-68499-4_7</t>
  </si>
  <si>
    <t>99-115</t>
  </si>
  <si>
    <t>Series Title: Lecture Notes in Computer Science DOI: 10.1007/978-3-319-68499-4_7</t>
  </si>
  <si>
    <t>Lee, Jin-Kook; Eastman, Charles M.; Lee, Yong Cheol</t>
  </si>
  <si>
    <t>Implementation of a BIM Domain-specific Language for the Building Environment Rule and Analysis</t>
  </si>
  <si>
    <t>Journal of Intelligent &amp; Robotic Systems</t>
  </si>
  <si>
    <t>0921-0296, 1573-0409</t>
  </si>
  <si>
    <t>10.1007/s10846-014-0117-7</t>
  </si>
  <si>
    <t>http://link.springer.com/10.1007/s10846-014-0117-7</t>
  </si>
  <si>
    <t>2015-08</t>
  </si>
  <si>
    <t>507-522</t>
  </si>
  <si>
    <t>3-4</t>
  </si>
  <si>
    <t>Gómez, Abel; Cabot, Jordi; Wimmer, Manuel</t>
  </si>
  <si>
    <t>TemporalEMF: A Temporal Metamodeling Framework</t>
  </si>
  <si>
    <t>Conceptual Modeling</t>
  </si>
  <si>
    <t>978-3-030-00846-8 978-3-030-00847-5</t>
  </si>
  <si>
    <t>http://link.springer.com/10.1007/978-3-030-00847-5_26</t>
  </si>
  <si>
    <t>365-381</t>
  </si>
  <si>
    <t>Series Title: Lecture Notes in Computer Science DOI: 10.1007/978-3-030-00847-5_26</t>
  </si>
  <si>
    <t>Lu, Ruqian; Jin, Zhi</t>
  </si>
  <si>
    <t>Domain Modeling-Based Software Engineering</t>
  </si>
  <si>
    <t>978-1-4613-7022-2 978-1-4615-4487-6</t>
  </si>
  <si>
    <t>http://link.springer.com/10.1007/978-1-4615-4487-6</t>
  </si>
  <si>
    <t>2000</t>
  </si>
  <si>
    <t>DOI: 10.1007/978-1-4615-4487-6</t>
  </si>
  <si>
    <t>Zhu, Zhi; Zhu, Ning; Lei, Yongling; Li, Qun; Wang, Huabing</t>
  </si>
  <si>
    <t>Engineering Semantic Composability Based on Ontological Metamodeling</t>
  </si>
  <si>
    <t>Simulation Tools and Techniques</t>
  </si>
  <si>
    <t>978-3-030-72791-8 978-3-030-72792-5</t>
  </si>
  <si>
    <t>https://link.springer.com/10.1007/978-3-030-72792-5_46</t>
  </si>
  <si>
    <t>582-592</t>
  </si>
  <si>
    <t>Series Title: Lecture Notes of the Institute for Computer Sciences, Social Informatics and Telecommunications Engineering DOI: 10.1007/978-3-030-72792-5_46</t>
  </si>
  <si>
    <t>Bender, Darlam Fabio; Combemale, Benoît; Crégut, Xavier; Farines, Jean Marie; Berthomieu, Bernard; Vernadat, François</t>
  </si>
  <si>
    <t>Ladder Metamodeling and PLC Program Validation through Time Petri Nets</t>
  </si>
  <si>
    <t>Model Driven Architecture – Foundations and Applications</t>
  </si>
  <si>
    <t>978-3-540-69095-5 978-3-540-69100-6</t>
  </si>
  <si>
    <t>http://link.springer.com/10.1007/978-3-540-69100-6_9</t>
  </si>
  <si>
    <t>121-136</t>
  </si>
  <si>
    <t>Series Title: Lecture Notes in Computer Science DOI: 10.1007/978-3-540-69100-6_9</t>
  </si>
  <si>
    <t>Savić, Srđan Ž.; Gnjatović, Milan; Stefanović, Darko; Lalić, Bojan; Maček, Nemanja</t>
  </si>
  <si>
    <t>Automatic domain modeling for human–robot interaction</t>
  </si>
  <si>
    <t>Intelligent Service Robotics</t>
  </si>
  <si>
    <t>1861-2776, 1861-2784</t>
  </si>
  <si>
    <t>10.1007/s11370-019-00303-9</t>
  </si>
  <si>
    <t>http://link.springer.com/10.1007/s11370-019-00303-9</t>
  </si>
  <si>
    <t>99-111</t>
  </si>
  <si>
    <t>Combemale, Benoît; Hardebolle, Cécile; Jacquet, Christophe; Boulanger, Frédéric; Baudry, Benoit</t>
  </si>
  <si>
    <t>Bridging the Chasm between Executable Metamodeling and Models of Computation</t>
  </si>
  <si>
    <t>Software Language Engineering</t>
  </si>
  <si>
    <t>978-3-642-36088-6 978-3-642-36089-3</t>
  </si>
  <si>
    <t>http://link.springer.com/10.1007/978-3-642-36089-3_11</t>
  </si>
  <si>
    <t>184-203</t>
  </si>
  <si>
    <t>Series Title: Lecture Notes in Computer Science DOI: 10.1007/978-3-642-36089-3_11</t>
  </si>
  <si>
    <t>Torres, Victoria; Giner, Pau; Pelechano, Vicente</t>
  </si>
  <si>
    <t>Developing BP-driven web applications through the use of MDE techniques</t>
  </si>
  <si>
    <t>10.1007/s10270-010-0177-5</t>
  </si>
  <si>
    <t>http://link.springer.com/10.1007/s10270-010-0177-5</t>
  </si>
  <si>
    <t>2012-10</t>
  </si>
  <si>
    <t>609-631</t>
  </si>
  <si>
    <t>MacRae, A. F.; Clegg, M. T.</t>
  </si>
  <si>
    <t>Evolution of Ac and Dsl elements in select grasses (Poaceae)</t>
  </si>
  <si>
    <t>Genetica</t>
  </si>
  <si>
    <t>0016-6707, 1573-6857</t>
  </si>
  <si>
    <t>10.1007/BF00133711</t>
  </si>
  <si>
    <t>http://link.springer.com/10.1007/BF00133711</t>
  </si>
  <si>
    <t>1992</t>
  </si>
  <si>
    <t>55-66</t>
  </si>
  <si>
    <t>1-3</t>
  </si>
  <si>
    <t>Domingo, África; Echeverría, Jorge; Pastor, Óscar; Cetina, Carlos</t>
  </si>
  <si>
    <t>Comparing UML-Based and DSL-Based Modeling from Subjective and Objective Perspectives</t>
  </si>
  <si>
    <t>Advanced Information Systems Engineering</t>
  </si>
  <si>
    <t>978-3-030-79381-4 978-3-030-79382-1</t>
  </si>
  <si>
    <t>https://link.springer.com/10.1007/978-3-030-79382-1_29</t>
  </si>
  <si>
    <t>483-498</t>
  </si>
  <si>
    <t>Series Title: Lecture Notes in Computer Science DOI: 10.1007/978-3-030-79382-1_29</t>
  </si>
  <si>
    <t>Li, Jing; Zhang, Yunqing; Chen, Wei</t>
  </si>
  <si>
    <t>Multi-Domain Modeling and Simulation of Automotive Air Conditioning System Based On Modelica</t>
  </si>
  <si>
    <t>Proceedings of the FISITA 2012 World Automotive Congress</t>
  </si>
  <si>
    <t>978-3-642-33737-6 978-3-642-33738-3</t>
  </si>
  <si>
    <t>http://link.springer.com/10.1007/978-3-642-33738-3_34</t>
  </si>
  <si>
    <t>1337-1350</t>
  </si>
  <si>
    <t>Series Title: Lecture Notes in Electrical Engineering DOI: 10.1007/978-3-642-33738-3_34</t>
  </si>
  <si>
    <t>El Hamlaoui, Mahmoud; Fissaa, Tarik; Laghouaouta, Youness; Nassar, Mahmoud</t>
  </si>
  <si>
    <t>Support Cloud SLA Establishment Using MDE</t>
  </si>
  <si>
    <t>Cloud Computing and Big Data: Technologies, Applications and Security</t>
  </si>
  <si>
    <t>978-3-319-97718-8 978-3-319-97719-5</t>
  </si>
  <si>
    <t>http://link.springer.com/10.1007/978-3-319-97719-5_12</t>
  </si>
  <si>
    <t>167-184</t>
  </si>
  <si>
    <t>Series Title: Lecture Notes in Networks and Systems DOI: 10.1007/978-3-319-97719-5_12</t>
  </si>
  <si>
    <t>Xu, Hao</t>
  </si>
  <si>
    <t>EriLex: An Embedded Domain Specific Language Generator</t>
  </si>
  <si>
    <t>Objects, Models, Components, Patterns</t>
  </si>
  <si>
    <t>978-3-642-13952-9 978-3-642-13953-6</t>
  </si>
  <si>
    <t>http://link.springer.com/10.1007/978-3-642-13953-6_11</t>
  </si>
  <si>
    <t>192-212</t>
  </si>
  <si>
    <t>Series Title: Lecture Notes in Computer Science DOI: 10.1007/978-3-642-13953-6_11</t>
  </si>
  <si>
    <t>Caramujo, João; Rodrigues da Silva, Alberto; Monfared, Shaghayegh; Ribeiro, André; Calado, Pável; Breaux, Travis</t>
  </si>
  <si>
    <t>RSL-IL4Privacy: a domain-specific language for the rigorous specification of privacy policies</t>
  </si>
  <si>
    <t>Requirements Engineering</t>
  </si>
  <si>
    <t>0947-3602, 1432-010X</t>
  </si>
  <si>
    <t>10.1007/s00766-018-0305-2</t>
  </si>
  <si>
    <t>http://link.springer.com/10.1007/s00766-018-0305-2</t>
  </si>
  <si>
    <t>2019-03</t>
  </si>
  <si>
    <t>1-26</t>
  </si>
  <si>
    <t>Khatouri, Hanane; Benamara, Tariq; Breitkopf, Piotr; Demange, Jean</t>
  </si>
  <si>
    <t>Metamodeling techniques for CPU-intensive simulation-based design optimization: a survey</t>
  </si>
  <si>
    <t>Advanced Modeling and Simulation in Engineering Sciences</t>
  </si>
  <si>
    <t>2213-7467</t>
  </si>
  <si>
    <t>10.1186/s40323-022-00214-y</t>
  </si>
  <si>
    <t>https://amses-journal.springeropen.com/articles/10.1186/s40323-022-00214-y</t>
  </si>
  <si>
    <t>2022-12</t>
  </si>
  <si>
    <t>Ecker, Wolfgang; Schreiner, Johannes</t>
  </si>
  <si>
    <t>Metamodeling and Code Generation in the Springer Science+Business Media Dordrecht</t>
  </si>
  <si>
    <t>Handbook of Hardware/Software Codesign</t>
  </si>
  <si>
    <t>978-94-017-7358-4</t>
  </si>
  <si>
    <t>http://link.springer.com/10.1007/978-94-017-7358-4_32-1</t>
  </si>
  <si>
    <t>1-41</t>
  </si>
  <si>
    <t>DOI: 10.1007/978-94-017-7358-4_32-1</t>
  </si>
  <si>
    <t>Cordasco, Gennaro; D’Auria, Matteo; Negro, Alberto; Scarano, Vittorio; Spagnuolo, Carmine</t>
  </si>
  <si>
    <t>FLY: A Domain-Specific Language for Scientific Computing on FaaS</t>
  </si>
  <si>
    <t>Euro-Par 2019: Parallel Processing Workshops</t>
  </si>
  <si>
    <t>978-3-030-48339-5 978-3-030-48340-1</t>
  </si>
  <si>
    <t>http://link.springer.com/10.1007/978-3-030-48340-1_41</t>
  </si>
  <si>
    <t>531-544</t>
  </si>
  <si>
    <t>Series Title: Lecture Notes in Computer Science DOI: 10.1007/978-3-030-48340-1_41</t>
  </si>
  <si>
    <t>Fritzsche, Mathias; Gilani, Wasif; Fritzsche, Christoph; Spence, Ivor; Kilpatrick, Peter; Brown, John</t>
  </si>
  <si>
    <t>Towards Utilizing Model-Driven Engineering of Composite Applications for Business Performance Analysis</t>
  </si>
  <si>
    <t>http://link.springer.com/10.1007/978-3-540-69100-6_26</t>
  </si>
  <si>
    <t>369-380</t>
  </si>
  <si>
    <t>Series Title: Lecture Notes in Computer Science DOI: 10.1007/978-3-540-69100-6_26</t>
  </si>
  <si>
    <t>Ripp, Matthias</t>
  </si>
  <si>
    <t>Epistemology and Integrating Metamodeling Theory into the Research Design</t>
  </si>
  <si>
    <t>A Metamodel for Heritage-based Urban Development</t>
  </si>
  <si>
    <t>978-3-031-08237-5 978-3-031-08238-2</t>
  </si>
  <si>
    <t>https://link.springer.com/10.1007/978-3-031-08238-2_6</t>
  </si>
  <si>
    <t>73-92</t>
  </si>
  <si>
    <t>DOI: 10.1007/978-3-031-08238-2_6</t>
  </si>
  <si>
    <t>Liu, Yan-fang; Dai, Zhen-kun; Xu, Xiang-yang; Tian, Liang</t>
  </si>
  <si>
    <t>Multi-domain modeling and simulation of proportional solenoid valve</t>
  </si>
  <si>
    <t>Journal of Central South University</t>
  </si>
  <si>
    <t>2095-2899, 2227-5223</t>
  </si>
  <si>
    <t>10.1007/s11771-011-0876-2</t>
  </si>
  <si>
    <t>http://link.springer.com/10.1007/s11771-011-0876-2</t>
  </si>
  <si>
    <t>2011-10</t>
  </si>
  <si>
    <t>1589-1594</t>
  </si>
  <si>
    <t>Mezei, Gergely; Levendovszky, Tihamér; Charaf, Hassan</t>
  </si>
  <si>
    <t>An optimizing OCL Compiler for Metamodeling and Model Transformation Environments</t>
  </si>
  <si>
    <t>Software Engineering Techniques: Design for Quality</t>
  </si>
  <si>
    <t>978-0-387-39387-2</t>
  </si>
  <si>
    <t>http://link.springer.com/10.1007/978-0-387-39388-9_6</t>
  </si>
  <si>
    <t>61-71</t>
  </si>
  <si>
    <t>Series Title: IFIP International Federation for Information Processing DOI: 10.1007/978-0-387-39388-9_6</t>
  </si>
  <si>
    <t>Sgirka, Rünno; Eessaar, Erki</t>
  </si>
  <si>
    <t>A Quality Model of Metamodeling Systems</t>
  </si>
  <si>
    <t>Emerging Trends in Computing, Informatics, Systems Sciences, and Engineering</t>
  </si>
  <si>
    <t>978-1-4614-3557-0 978-1-4614-3558-7</t>
  </si>
  <si>
    <t>http://link.springer.com/10.1007/978-1-4614-3558-7_46</t>
  </si>
  <si>
    <t>543-555</t>
  </si>
  <si>
    <t>Springer New York</t>
  </si>
  <si>
    <t>New York, NY</t>
  </si>
  <si>
    <t>Series Title: Lecture Notes in Electrical Engineering DOI: 10.1007/978-1-4614-3558-7_46</t>
  </si>
  <si>
    <t>Gigch, John P.</t>
  </si>
  <si>
    <t>Diagnosis and metamodeling of systems failures</t>
  </si>
  <si>
    <t>Systems Practice</t>
  </si>
  <si>
    <t>0894-9859, 1573-9295</t>
  </si>
  <si>
    <t>10.1007/BF01059887</t>
  </si>
  <si>
    <t>http://link.springer.com/10.1007/BF01059887</t>
  </si>
  <si>
    <t>1988-03</t>
  </si>
  <si>
    <t>31-45</t>
  </si>
  <si>
    <t>Hinkelmann, Knut; Laurenzi, Emanuele; Martin, Andreas; Thönssen, Barbara</t>
  </si>
  <si>
    <t>Ontology-Based Metamodeling</t>
  </si>
  <si>
    <t>Business Information Systems and Technology 4.0</t>
  </si>
  <si>
    <t>978-3-319-74321-9 978-3-319-74322-6</t>
  </si>
  <si>
    <t>http://link.springer.com/10.1007/978-3-319-74322-6_12</t>
  </si>
  <si>
    <t>177-194</t>
  </si>
  <si>
    <t>Series Title: Studies in Systems, Decision and Control DOI: 10.1007/978-3-319-74322-6_12</t>
  </si>
  <si>
    <t>Consel, Charles; Latry, Fabien; Réveillère, Laurent; Cointe, Pierre</t>
  </si>
  <si>
    <t>A Generative Programming Approach to Developing DSL Compilers</t>
  </si>
  <si>
    <t>http://link.springer.com/10.1007/11561347_4</t>
  </si>
  <si>
    <t>29-46</t>
  </si>
  <si>
    <t>Series Title: Lecture Notes in Computer Science DOI: 10.1007/11561347_4</t>
  </si>
  <si>
    <t>Kovse, Jernej; Härder, Theo</t>
  </si>
  <si>
    <t>DSL-DIA – An Environment for Domain-Specific Languages for Database-Intensive Applications</t>
  </si>
  <si>
    <t>Object-Oriented Information Systems</t>
  </si>
  <si>
    <t>978-3-540-40860-4 978-3-540-45242-3</t>
  </si>
  <si>
    <t>http://link.springer.com/10.1007/978-3-540-45242-3_31</t>
  </si>
  <si>
    <t>304-310</t>
  </si>
  <si>
    <t>Series Title: Lecture Notes in Computer Science DOI: 10.1007/978-3-540-45242-3_31</t>
  </si>
  <si>
    <t>Type Inference in Flexible Model-Driven Engineering</t>
  </si>
  <si>
    <t>Modelling Foundations and Applications</t>
  </si>
  <si>
    <t>978-3-319-21150-3 978-3-319-21151-0</t>
  </si>
  <si>
    <t>http://link.springer.com/10.1007/978-3-319-21151-0_6</t>
  </si>
  <si>
    <t>75-91</t>
  </si>
  <si>
    <t>Series Title: Lecture Notes in Computer Science DOI: 10.1007/978-3-319-21151-0_6</t>
  </si>
  <si>
    <t>Floch, Antoine; Yuki, Tomofumi; Guy, Clement; Derrien, Steven; Combemale, Benoit; Rajopadhye, Sanjay; France, Robert B.</t>
  </si>
  <si>
    <t>Model-Driven Engineering and Optimizing Compilers: A Bridge Too Far?</t>
  </si>
  <si>
    <t>978-3-642-24484-1 978-3-642-24485-8</t>
  </si>
  <si>
    <t>http://link.springer.com/10.1007/978-3-642-24485-8_45</t>
  </si>
  <si>
    <t>608-622</t>
  </si>
  <si>
    <t>Series Title: Lecture Notes in Computer Science DOI: 10.1007/978-3-642-24485-8_45</t>
  </si>
  <si>
    <t>Zhao, Huan; Gao, Zhenghong; Xu, Fang; Xia, Lu</t>
  </si>
  <si>
    <t>Adaptive multi-fidelity sparse polynomial chaos-Kriging metamodeling for global approximation of aerodynamic data</t>
  </si>
  <si>
    <t>10.1007/s00158-021-02895-2</t>
  </si>
  <si>
    <t>https://link.springer.com/10.1007/s00158-021-02895-2</t>
  </si>
  <si>
    <t>2021-08</t>
  </si>
  <si>
    <t>829-858</t>
  </si>
  <si>
    <t>Stappers, Frank P. M.; Weber, Sven; Reniers, Michel A.; Andova, Suzana; Nagy, Istvan</t>
  </si>
  <si>
    <t>Formalizing a Domain Specific Language Using SOS: An Industrial Case Study</t>
  </si>
  <si>
    <t>978-3-642-28829-6 978-3-642-28830-2</t>
  </si>
  <si>
    <t>http://link.springer.com/10.1007/978-3-642-28830-2_13</t>
  </si>
  <si>
    <t>223-242</t>
  </si>
  <si>
    <t>Series Title: Lecture Notes in Computer Science DOI: 10.1007/978-3-642-28830-2_13</t>
  </si>
  <si>
    <t>Topçu, Okan; Durak, Umut; Oğuztüzün, Halit; Yilmaz, Levent</t>
  </si>
  <si>
    <t>Synergies of MDE, Simulation, and Agent Technology</t>
  </si>
  <si>
    <t>Distributed Simulation</t>
  </si>
  <si>
    <t>978-3-319-03049-4 978-3-319-03050-0</t>
  </si>
  <si>
    <t>http://link.springer.com/10.1007/978-3-319-03050-0_11</t>
  </si>
  <si>
    <t>251-270</t>
  </si>
  <si>
    <t>Series Title: Simulation Foundations, Methods and Applications DOI: 10.1007/978-3-319-03050-0_11</t>
  </si>
  <si>
    <t>Sannier, Nicolas; Baudry, Benoit</t>
  </si>
  <si>
    <t>INCREMENT: A Mixed MDE-IR Approach for Regulatory Requirements Modeling and Analysis</t>
  </si>
  <si>
    <t>Requirements Engineering: Foundation for Software Quality</t>
  </si>
  <si>
    <t>978-3-319-05842-9 978-3-319-05843-6</t>
  </si>
  <si>
    <t>http://link.springer.com/10.1007/978-3-319-05843-6_11</t>
  </si>
  <si>
    <t>135-151</t>
  </si>
  <si>
    <t>Series Title: Lecture Notes in Computer Science DOI: 10.1007/978-3-319-05843-6_11</t>
  </si>
  <si>
    <t>Idani, Akram</t>
  </si>
  <si>
    <t>The B Method Meets MDE: Review, Progress and Future: Review, Progress and Future</t>
  </si>
  <si>
    <t>Research Challenges in Information Science</t>
  </si>
  <si>
    <t>978-3-031-05759-5 978-3-031-05760-1</t>
  </si>
  <si>
    <t>https://link.springer.com/10.1007/978-3-031-05760-1_29</t>
  </si>
  <si>
    <t>495-512</t>
  </si>
  <si>
    <t>Series Title: Lecture Notes in Business Information Processing DOI: 10.1007/978-3-031-05760-1_29</t>
  </si>
  <si>
    <t>Harrison, William L.; Procter, Adam M.; Agron, Jason; Kimmell, Garrin; Allwein, Gerard</t>
  </si>
  <si>
    <t>Model-Driven Engineering from Modular Monadic Semantics: Implementation Techniques Targeting Hardware and Software</t>
  </si>
  <si>
    <t>Domain-Specific Languages</t>
  </si>
  <si>
    <t>978-3-642-03033-8 978-3-642-03034-5</t>
  </si>
  <si>
    <t>http://link.springer.com/10.1007/978-3-642-03034-5_2</t>
  </si>
  <si>
    <t>20-44</t>
  </si>
  <si>
    <t>Series Title: Lecture Notes in Computer Science DOI: 10.1007/978-3-642-03034-5_2</t>
  </si>
  <si>
    <t>Gerbé, Olivier; Mineau, Guy W.; Keller, Rudolf K.</t>
  </si>
  <si>
    <t>Conceptual Graphs, Metamodeling, and Notation of Concepts</t>
  </si>
  <si>
    <t>Conceptual Structures: Logical, Linguistic, and Computational Issues</t>
  </si>
  <si>
    <t>978-3-540-67859-5 978-3-540-44663-7</t>
  </si>
  <si>
    <t>http://link.springer.com/10.1007/10722280_11</t>
  </si>
  <si>
    <t>157-171</t>
  </si>
  <si>
    <t>Series Title: Lecture Notes in Computer Science DOI: 10.1007/10722280_11</t>
  </si>
  <si>
    <t>Metamodeling and Code Generation in the Hardware/Software Interface Domain</t>
  </si>
  <si>
    <t>978-94-017-7266-2 978-94-017-7267-9</t>
  </si>
  <si>
    <t>http://link.springer.com/10.1007/978-94-017-7267-9_32</t>
  </si>
  <si>
    <t>1051-1091</t>
  </si>
  <si>
    <t>DOI: 10.1007/978-94-017-7267-9_32</t>
  </si>
  <si>
    <t>Singh, Ninni; Gunjan, Vinit Kumar; Zurada, Jacek M.</t>
  </si>
  <si>
    <t>Cognitive Tutor</t>
  </si>
  <si>
    <t>978-981-19519-6-1 978-981-19519-7-8</t>
  </si>
  <si>
    <t>https://link.springer.com/10.1007/978-981-19-5197-8_2</t>
  </si>
  <si>
    <t>31-50</t>
  </si>
  <si>
    <t>Springer Nature Singapore</t>
  </si>
  <si>
    <t>Series Title: Advanced Technologies and Societal Change DOI: 10.1007/978-981-19-5197-8_2</t>
  </si>
  <si>
    <t>Pelánek, Radek</t>
  </si>
  <si>
    <t>Managing items and knowledge components: domain modeling in practice</t>
  </si>
  <si>
    <t>Educational Technology Research and Development</t>
  </si>
  <si>
    <t>1042-1629, 1556-6501</t>
  </si>
  <si>
    <t>10.1007/s11423-019-09716-w</t>
  </si>
  <si>
    <t>http://link.springer.com/10.1007/s11423-019-09716-w</t>
  </si>
  <si>
    <t>2020-02</t>
  </si>
  <si>
    <t>529-550</t>
  </si>
  <si>
    <t>Tecuci, Gheorghe</t>
  </si>
  <si>
    <t>A multistrategy learning approach to domain modeling and knowledge acquisition</t>
  </si>
  <si>
    <t>Machine Learning — EWSL-91</t>
  </si>
  <si>
    <t>978-3-540-53816-5 978-3-540-46308-5</t>
  </si>
  <si>
    <t>https://link.springer.com/10.1007/BFb0017001</t>
  </si>
  <si>
    <t>1991</t>
  </si>
  <si>
    <t>14-32</t>
  </si>
  <si>
    <t>Series Title: Lecture Notes in Computer Science DOI: 10.1007/BFb0017001</t>
  </si>
  <si>
    <t>Garcia, I.; Pacheco, C.; Arcilla, M.; Sanchez, N.</t>
  </si>
  <si>
    <t>Project Management in Small-Sized Software Enterprises: A Metamodeling-Based Approach</t>
  </si>
  <si>
    <t>Trends and Applications in Software Engineering</t>
  </si>
  <si>
    <t>978-3-319-26283-3 978-3-319-26285-7</t>
  </si>
  <si>
    <t>http://link.springer.com/10.1007/978-3-319-26285-7_1</t>
  </si>
  <si>
    <t>3-13</t>
  </si>
  <si>
    <t>Series Title: Advances in Intelligent Systems and Computing DOI: 10.1007/978-3-319-26285-7_1</t>
  </si>
  <si>
    <t>Combemale, Benoît; De Antoni, Julien; Larsen, Matias Vara; Mallet, Frédéric; Barais, Olivier; Baudry, Benoit; France, Robert B.</t>
  </si>
  <si>
    <t>Reifying Concurrency for Executable Metamodeling</t>
  </si>
  <si>
    <t>978-3-319-02653-4 978-3-319-02654-1</t>
  </si>
  <si>
    <t>http://link.springer.com/10.1007/978-3-319-02654-1_20</t>
  </si>
  <si>
    <t>365-384</t>
  </si>
  <si>
    <t>Series Title: Lecture Notes in Computer Science DOI: 10.1007/978-3-319-02654-1_20</t>
  </si>
  <si>
    <t>Araujo, Pedro; Rodríguez, Sebastián; Hilaire, Vincent</t>
  </si>
  <si>
    <t>A metamodeling approach for the identification of organizational smells in multi-agent systems: application to ASPECS</t>
  </si>
  <si>
    <t>Artificial Intelligence Review</t>
  </si>
  <si>
    <t>0269-2821, 1573-7462</t>
  </si>
  <si>
    <t>10.1007/s10462-016-9521-7</t>
  </si>
  <si>
    <t>http://link.springer.com/10.1007/s10462-016-9521-7</t>
  </si>
  <si>
    <t>2018-02</t>
  </si>
  <si>
    <t>183-210</t>
  </si>
  <si>
    <t>Metamodeling: The epistemology of system science</t>
  </si>
  <si>
    <t>10.1007/BF01059724</t>
  </si>
  <si>
    <t>http://link.springer.com/10.1007/BF01059724</t>
  </si>
  <si>
    <t>1993-06</t>
  </si>
  <si>
    <t>251-258</t>
  </si>
  <si>
    <t>Deb, Kalyanmoy; Hussein, Rayan; Roy, Proteek; Toscano, Gregorio</t>
  </si>
  <si>
    <t>Classifying Metamodeling Methods for Evolutionary Multi-objective Optimization: First Results</t>
  </si>
  <si>
    <t>Evolutionary Multi-Criterion Optimization</t>
  </si>
  <si>
    <t>978-3-319-54156-3 978-3-319-54157-0</t>
  </si>
  <si>
    <t>http://link.springer.com/10.1007/978-3-319-54157-0_12</t>
  </si>
  <si>
    <t>160-175</t>
  </si>
  <si>
    <t>Series Title: Lecture Notes in Computer Science DOI: 10.1007/978-3-319-54157-0_12</t>
  </si>
  <si>
    <t>Al Khawli, Toufik; Eppelt, Urs; Schulz, Wolfgang</t>
  </si>
  <si>
    <t>Advanced Metamodeling Techniques Applied to Multidimensional Applications with Piecewise Responses</t>
  </si>
  <si>
    <t>Machine Learning, Optimization, and Big Data</t>
  </si>
  <si>
    <t>978-3-319-27925-1 978-3-319-27926-8</t>
  </si>
  <si>
    <t>http://link.springer.com/10.1007/978-3-319-27926-8_9</t>
  </si>
  <si>
    <t>93-104</t>
  </si>
  <si>
    <t>Series Title: Lecture Notes in Computer Science DOI: 10.1007/978-3-319-27926-8_9</t>
  </si>
  <si>
    <t>Lai, Kin Keung; Yu, Lean; Zhou, Ligang; Wang, Shouyang</t>
  </si>
  <si>
    <t>Self-Organizing-Map-Based Metamodeling for Massive Text Data Exploration</t>
  </si>
  <si>
    <t>Advances in Neural Networks - ISNN 2006</t>
  </si>
  <si>
    <t>978-3-540-34439-1 978-3-540-34440-7</t>
  </si>
  <si>
    <t>http://link.springer.com/10.1007/11759966_187</t>
  </si>
  <si>
    <t>1261-1266</t>
  </si>
  <si>
    <t>Series Title: Lecture Notes in Computer Science DOI: 10.1007/11759966_187</t>
  </si>
  <si>
    <t>Clees, Tanja; Nikitin, Igor; Nikitina, Lialia; Pott, Sabine</t>
  </si>
  <si>
    <t>Quasi-Monte Carlo and RBF Metamodeling for Quantile Estimation in River Bed Morphodynamics</t>
  </si>
  <si>
    <t>Simulation and Modeling Methodologies, Technologies and Applications</t>
  </si>
  <si>
    <t>978-3-319-11456-9 978-3-319-11457-6</t>
  </si>
  <si>
    <t>http://link.springer.com/10.1007/978-3-319-11457-6_15</t>
  </si>
  <si>
    <t>211-222</t>
  </si>
  <si>
    <t>Series Title: Advances in Intelligent Systems and Computing DOI: 10.1007/978-3-319-11457-6_15</t>
  </si>
  <si>
    <t>Tan, Chee Keong; Chuah, Teong Chee; Bahri, Mohd Saiful</t>
  </si>
  <si>
    <t>Crosstalk-aware dynamic spectrum management algorithm for green DSL systems</t>
  </si>
  <si>
    <t>Telecommunication Systems</t>
  </si>
  <si>
    <t>1018-4864, 1572-9451</t>
  </si>
  <si>
    <t>10.1007/s11235-017-0366-4</t>
  </si>
  <si>
    <t>http://link.springer.com/10.1007/s11235-017-0366-4</t>
  </si>
  <si>
    <t>2018-04</t>
  </si>
  <si>
    <t>717-732</t>
  </si>
  <si>
    <t>Wada, Yasutaka; He, Yuan; Cao, Thang; Kondo, Masaaki</t>
  </si>
  <si>
    <t>A Power Management Framework with Simple DSL for Automatic Power-Performance Optimization on Power-Constrained HPC Systems</t>
  </si>
  <si>
    <t>Supercomputing Frontiers</t>
  </si>
  <si>
    <t>978-3-319-69952-3 978-3-319-69953-0</t>
  </si>
  <si>
    <t>http://link.springer.com/10.1007/978-3-319-69953-0_12</t>
  </si>
  <si>
    <t>199-218</t>
  </si>
  <si>
    <t>Series Title: Lecture Notes in Computer Science DOI: 10.1007/978-3-319-69953-0_12</t>
  </si>
  <si>
    <t>de Azevedo, Renato Preigschadt; Pereira, Maria João Varanda; Henriques, Pedro Rangel</t>
  </si>
  <si>
    <t>DSL Based Automatic Generation of Q&amp;A Systems</t>
  </si>
  <si>
    <t>New Knowledge in Information Systems and Technologies</t>
  </si>
  <si>
    <t>978-3-030-16180-4 978-3-030-16181-1</t>
  </si>
  <si>
    <t>http://link.springer.com/10.1007/978-3-030-16181-1_44</t>
  </si>
  <si>
    <t>460-471</t>
  </si>
  <si>
    <t>Series Title: Advances in Intelligent Systems and Computing DOI: 10.1007/978-3-030-16181-1_44</t>
  </si>
  <si>
    <t>Mussbacher, Gunter; Amyot, Daniel; Breu, Ruth; Bruel, Jean-Michel; Cheng, Betty H. C.; Collet, Philippe; Combemale, Benoit; France, Robert B.; Heldal, Rogardt; Hill, James; Kienzle, Jörg; Schöttle, Matthias; Steimann, Friedrich; Stikkolorum, Dave; Whittle, Jon</t>
  </si>
  <si>
    <t>The Relevance of Model-Driven Engineering Thirty Years from Now</t>
  </si>
  <si>
    <t>Model-Driven Engineering Languages and Systems</t>
  </si>
  <si>
    <t>978-3-319-11652-5 978-3-319-11653-2</t>
  </si>
  <si>
    <t>http://link.springer.com/10.1007/978-3-319-11653-2_12</t>
  </si>
  <si>
    <t>183-200</t>
  </si>
  <si>
    <t>Series Title: Lecture Notes in Computer Science DOI: 10.1007/978-3-319-11653-2_12</t>
  </si>
  <si>
    <t>Nugent, Tim; Stelea, Nicole; Leidner, Jochen L.</t>
  </si>
  <si>
    <t>Detecting Environmental, Social and Governance (ESG) Topics Using Domain-Specific Language Models and Data Augmentation</t>
  </si>
  <si>
    <t>Flexible Query Answering Systems</t>
  </si>
  <si>
    <t>978-3-030-86966-3 978-3-030-86967-0</t>
  </si>
  <si>
    <t>https://link.springer.com/10.1007/978-3-030-86967-0_12</t>
  </si>
  <si>
    <t>157-169</t>
  </si>
  <si>
    <t>Series Title: Lecture Notes in Computer Science DOI: 10.1007/978-3-030-86967-0_12</t>
  </si>
  <si>
    <t>Pereira, Ricardo B.; Brito, Miguel A.; Machado, Ricardo J.</t>
  </si>
  <si>
    <t>Architecture Based on Keyword Driven Testing with Domain Specific Language for a Testing System</t>
  </si>
  <si>
    <t>Testing Software and Systems</t>
  </si>
  <si>
    <t>978-3-030-64880-0 978-3-030-64881-7</t>
  </si>
  <si>
    <t>https://link.springer.com/10.1007/978-3-030-64881-7_21</t>
  </si>
  <si>
    <t>310-316</t>
  </si>
  <si>
    <t>Series Title: Lecture Notes in Computer Science DOI: 10.1007/978-3-030-64881-7_21</t>
  </si>
  <si>
    <t>Truong, Lenny; Herbst, Steven; Setaluri, Rajsekhar; Mann, Makai; Daly, Ross; Zhang, Keyi; Donovick, Caleb; Stanley, Daniel; Horowitz, Mark; Barrett, Clark; Hanrahan, Pat</t>
  </si>
  <si>
    <t>fault: A Python Embedded Domain-Specific Language for Metaprogramming Portable Hardware Verification Components</t>
  </si>
  <si>
    <t>978-3-030-53287-1 978-3-030-53288-8</t>
  </si>
  <si>
    <t>http://link.springer.com/10.1007/978-3-030-53288-8_19</t>
  </si>
  <si>
    <t>403-414</t>
  </si>
  <si>
    <t>Series Title: Lecture Notes in Computer Science DOI: 10.1007/978-3-030-53288-8_19</t>
  </si>
  <si>
    <t>Celms, Edgars; Barzdins, Janis; Kalnins, Audris; Sprogis, Arturs; Grasmanis, Mikus; Rikacovs, Sergejs; Barzdins, Paulis</t>
  </si>
  <si>
    <t>Towards DSL for DL Lifecycle Data Management</t>
  </si>
  <si>
    <t>Databases and Information Systems</t>
  </si>
  <si>
    <t>978-3-030-57671-4 978-3-030-57672-1</t>
  </si>
  <si>
    <t>https://link.springer.com/10.1007/978-3-030-57672-1_16</t>
  </si>
  <si>
    <t>205-218</t>
  </si>
  <si>
    <t>Series Title: Communications in Computer and Information Science DOI: 10.1007/978-3-030-57672-1_16</t>
  </si>
  <si>
    <t>Jaffal, Issa</t>
  </si>
  <si>
    <t>Physics-informed machine learning for metamodeling thermal comfort in non-air-conditioned buildings</t>
  </si>
  <si>
    <t>10.1007/s12273-022-0931-y</t>
  </si>
  <si>
    <t>https://link.springer.com/10.1007/s12273-022-0931-y</t>
  </si>
  <si>
    <t>2022-09-30</t>
  </si>
  <si>
    <t>Kalnins, Audris; Barzdins, Janis</t>
  </si>
  <si>
    <t>Metamodel Specialization for DSL Tool Building</t>
  </si>
  <si>
    <t>978-3-319-40179-9 978-3-319-40180-5</t>
  </si>
  <si>
    <t>http://link.springer.com/10.1007/978-3-319-40180-5_5</t>
  </si>
  <si>
    <t>68-82</t>
  </si>
  <si>
    <t>Series Title: Communications in Computer and Information Science DOI: 10.1007/978-3-319-40180-5_5</t>
  </si>
  <si>
    <t>Sottet, Jean-Sébastien; Calvary, Gaëlle; Coutaz, Joëlle; Favre, Jean-Marie</t>
  </si>
  <si>
    <t>A Model-Driven Engineering Approach for the Usability of Plastic User Interfaces</t>
  </si>
  <si>
    <t>Engineering Interactive Systems</t>
  </si>
  <si>
    <t>978-3-540-92697-9 978-3-540-92698-6</t>
  </si>
  <si>
    <t>http://link.springer.com/10.1007/978-3-540-92698-6_9</t>
  </si>
  <si>
    <t>140-157</t>
  </si>
  <si>
    <t>Series Title: Lecture Notes in Computer Science DOI: 10.1007/978-3-540-92698-6_9</t>
  </si>
  <si>
    <t>Tang, Wei; Zou, Dongsheng; Yang, Su; Shi, Jing</t>
  </si>
  <si>
    <t>DSL: Automatic Liver Segmentation with Faster R-CNN and DeepLab</t>
  </si>
  <si>
    <t>Artificial Neural Networks and Machine Learning – ICANN 2018</t>
  </si>
  <si>
    <t>978-3-030-01420-9 978-3-030-01421-6</t>
  </si>
  <si>
    <t>http://link.springer.com/10.1007/978-3-030-01421-6_14</t>
  </si>
  <si>
    <t>Series Title: Lecture Notes in Computer Science DOI: 10.1007/978-3-030-01421-6_14</t>
  </si>
  <si>
    <t>Vernotte, Alexandre; Cretin, Aymeric; Legeard, Bruno; Peureux, Fabien</t>
  </si>
  <si>
    <t>A domain-specific language to design false data injection tests for air traffic control systems</t>
  </si>
  <si>
    <t>International Journal on Software Tools for Technology Transfer</t>
  </si>
  <si>
    <t>1433-2779, 1433-2787</t>
  </si>
  <si>
    <t>10.1007/s10009-021-00604-4</t>
  </si>
  <si>
    <t>https://link.springer.com/10.1007/s10009-021-00604-4</t>
  </si>
  <si>
    <t>2022-04</t>
  </si>
  <si>
    <t>127-158</t>
  </si>
  <si>
    <t>A model driven engineering process of platform neutral agents for ambient intelligence devices</t>
  </si>
  <si>
    <t>Autonomous Agents and Multi-Agent Systems</t>
  </si>
  <si>
    <t>1387-2532, 1573-7454</t>
  </si>
  <si>
    <t>10.1007/s10458-013-9223-3</t>
  </si>
  <si>
    <t>http://link.springer.com/10.1007/s10458-013-9223-3</t>
  </si>
  <si>
    <t>2014-03</t>
  </si>
  <si>
    <t>214-255</t>
  </si>
  <si>
    <t>Yatracos, Yannis G.</t>
  </si>
  <si>
    <t>Limitations of the Wasserstein MDE for univariate data</t>
  </si>
  <si>
    <t>Statistics and Computing</t>
  </si>
  <si>
    <t>0960-3174, 1573-1375</t>
  </si>
  <si>
    <t>10.1007/s11222-022-10146-7</t>
  </si>
  <si>
    <t>https://link.springer.com/10.1007/s11222-022-10146-7</t>
  </si>
  <si>
    <t>95</t>
  </si>
  <si>
    <t>Sovetov, P. N.</t>
  </si>
  <si>
    <t>Development of DSL Compilers for Specialized Processors</t>
  </si>
  <si>
    <t>Programming and Computer Software</t>
  </si>
  <si>
    <t>0361-7688, 1608-3261</t>
  </si>
  <si>
    <t>10.1134/S0361768821070082</t>
  </si>
  <si>
    <t>https://link.springer.com/10.1134/S0361768821070082</t>
  </si>
  <si>
    <t>541-554</t>
  </si>
  <si>
    <t>7</t>
  </si>
  <si>
    <t>Elaasar, Maged; Badreddin, Omar</t>
  </si>
  <si>
    <t>Modeling Meets Programming: A Comparative Study in Model Driven Engineering Action Languages</t>
  </si>
  <si>
    <t>Leveraging Applications of Formal Methods, Verification and Validation: Discussion, Dissemination, Applications</t>
  </si>
  <si>
    <t>978-3-319-47168-6 978-3-319-47169-3</t>
  </si>
  <si>
    <t>http://link.springer.com/10.1007/978-3-319-47169-3_5</t>
  </si>
  <si>
    <t>50-67</t>
  </si>
  <si>
    <t>Series Title: Lecture Notes in Computer Science DOI: 10.1007/978-3-319-47169-3_5</t>
  </si>
  <si>
    <t>Laarman, Alfons; Kurtev, Ivan</t>
  </si>
  <si>
    <t>Ontological Metamodeling with Explicit Instantiation</t>
  </si>
  <si>
    <t>978-3-642-12106-7 978-3-642-12107-4</t>
  </si>
  <si>
    <t>http://link.springer.com/10.1007/978-3-642-12107-4_14</t>
  </si>
  <si>
    <t>174-183</t>
  </si>
  <si>
    <t>Series Title: Lecture Notes in Computer Science DOI: 10.1007/978-3-642-12107-4_14</t>
  </si>
  <si>
    <t>Idani, Akram; Ledru, Yves; Vega, German</t>
  </si>
  <si>
    <t>Alliance of model-driven engineering with a proof-based formal approach</t>
  </si>
  <si>
    <t>10.1007/s11334-020-00366-3</t>
  </si>
  <si>
    <t>https://link.springer.com/10.1007/s11334-020-00366-3</t>
  </si>
  <si>
    <t>2020-12</t>
  </si>
  <si>
    <t>289-307</t>
  </si>
  <si>
    <t>Weigert, Thomas; Weil, Frank; Marth, Kevin; Baker, Paul; Jervis, Clive; Dietz, Paul; Gui, Yexuan; van den Berg, Aswin; Fleer, Kim; Nelson, David; Wells, Michael; Mastenbrook, Brian</t>
  </si>
  <si>
    <t>Experiences in Deploying Model-Driven Engineering</t>
  </si>
  <si>
    <t>SDL 2007: Design for Dependable Systems</t>
  </si>
  <si>
    <t>978-3-540-74983-7 978-3-540-74984-4</t>
  </si>
  <si>
    <t>http://link.springer.com/10.1007/978-3-540-74984-4_3</t>
  </si>
  <si>
    <t>35-53</t>
  </si>
  <si>
    <t>Series Title: Lecture Notes in Computer Science DOI: 10.1007/978-3-540-74984-4_3</t>
  </si>
  <si>
    <t>Bézivin, Jean</t>
  </si>
  <si>
    <t>Model Driven Engineering: An Emerging Technical Space</t>
  </si>
  <si>
    <t>Generative and Transformational Techniques in Software Engineering</t>
  </si>
  <si>
    <t>978-3-540-45778-7 978-3-540-46235-4</t>
  </si>
  <si>
    <t>http://link.springer.com/10.1007/11877028_2</t>
  </si>
  <si>
    <t>36-64</t>
  </si>
  <si>
    <t>Series Title: Lecture Notes in Computer Science DOI: 10.1007/11877028_2</t>
  </si>
  <si>
    <t>Williams, James R.; Poulding, Simon; Rose, Louis M.; Paige, Richard F.; Polack, Fiona A. C.</t>
  </si>
  <si>
    <t>Identifying Desirable Game Character Behaviours through the Application of Evolutionary Algorithms to Model-Driven Engineering Metamodels</t>
  </si>
  <si>
    <t>Search Based Software Engineering</t>
  </si>
  <si>
    <t>978-3-642-23715-7 978-3-642-23716-4</t>
  </si>
  <si>
    <t>http://link.springer.com/10.1007/978-3-642-23716-4_13</t>
  </si>
  <si>
    <t>112-126</t>
  </si>
  <si>
    <t>Series Title: Lecture Notes in Computer Science DOI: 10.1007/978-3-642-23716-4_13</t>
  </si>
  <si>
    <t>DSL semantico-pragmatico</t>
  </si>
  <si>
    <t>http://link.springer.com/10.1007/978-88-470-5349-6_10</t>
  </si>
  <si>
    <t>143-151</t>
  </si>
  <si>
    <t>DOI: 10.1007/978-88-470-5349-6_10</t>
  </si>
  <si>
    <t>Zhu, Zhi; Lei, Yongling; Li, Qun; Zhu, Yifan</t>
  </si>
  <si>
    <t>Formalizing Model Transformations Within MDE</t>
  </si>
  <si>
    <t>978-3-030-32215-1 978-3-030-32216-8</t>
  </si>
  <si>
    <t>http://link.springer.com/10.1007/978-3-030-32216-8_3</t>
  </si>
  <si>
    <t>25-42</t>
  </si>
  <si>
    <t>Series Title: Lecture Notes of the Institute for Computer Sciences, Social Informatics and Telecommunications Engineering DOI: 10.1007/978-3-030-32216-8_3</t>
  </si>
  <si>
    <t>Eriksson, Johannes; Parsa, Masoumeh</t>
  </si>
  <si>
    <t>A DSL for Integer Range Reasoning: Partition, Interval and Mapping Diagrams</t>
  </si>
  <si>
    <t>Practical Aspects of Declarative Languages</t>
  </si>
  <si>
    <t>978-3-030-39196-6 978-3-030-39197-3</t>
  </si>
  <si>
    <t>http://link.springer.com/10.1007/978-3-030-39197-3_13</t>
  </si>
  <si>
    <t>196-212</t>
  </si>
  <si>
    <t>Series Title: Lecture Notes in Computer Science DOI: 10.1007/978-3-030-39197-3_13</t>
  </si>
  <si>
    <t>Casalaro, Giuseppina Lucia; Cattivera, Giulio; Ciccozzi, Federico; Malavolta, Ivano; Wortmann, Andreas; Pelliccione, Patrizio</t>
  </si>
  <si>
    <t>Model-driven engineering for mobile robotic systems: a systematic mapping study</t>
  </si>
  <si>
    <t>10.1007/s10270-021-00908-8</t>
  </si>
  <si>
    <t>https://link.springer.com/10.1007/s10270-021-00908-8</t>
  </si>
  <si>
    <t>2022-02</t>
  </si>
  <si>
    <t>19-49</t>
  </si>
  <si>
    <t>White, Jules; Schmidt, Douglas C.; Gokhale, Aniruddha</t>
  </si>
  <si>
    <t>Simplifying autonomic enterprise Java Bean applications via model-driven engineering and simulation</t>
  </si>
  <si>
    <t>10.1007/s10270-007-0057-9</t>
  </si>
  <si>
    <t>http://link.springer.com/10.1007/s10270-007-0057-9</t>
  </si>
  <si>
    <t>2007-11-21</t>
  </si>
  <si>
    <t>3-23</t>
  </si>
  <si>
    <t>Sanchez, Daniel; Florez, Hector</t>
  </si>
  <si>
    <t>Model Driven Engineering Approach to Manage Peripherals in Mobile Devices</t>
  </si>
  <si>
    <t>Computational Science and Its Applications – ICCSA 2018</t>
  </si>
  <si>
    <t>978-3-319-95170-6 978-3-319-95171-3</t>
  </si>
  <si>
    <t>http://link.springer.com/10.1007/978-3-319-95171-3_28</t>
  </si>
  <si>
    <t>353-364</t>
  </si>
  <si>
    <t>Series Title: Lecture Notes in Computer Science DOI: 10.1007/978-3-319-95171-3_28</t>
  </si>
  <si>
    <t>Toksoy, Macit; İlken, B. Zafer</t>
  </si>
  <si>
    <t>Phase Change Heat Transfer in Cylindrical Domain: Modeling and its Importance in the Thermal Energy Storage</t>
  </si>
  <si>
    <t>Energy Storage Systems</t>
  </si>
  <si>
    <t>978-94-010-7558-9 978-94-009-2350-8</t>
  </si>
  <si>
    <t>http://link.springer.com/10.1007/978-94-009-2350-8_9</t>
  </si>
  <si>
    <t>1989</t>
  </si>
  <si>
    <t>191-229</t>
  </si>
  <si>
    <t>DOI: 10.1007/978-94-009-2350-8_9</t>
  </si>
  <si>
    <t>Maitrehenry, Sébastien; Metge, Sylvain; Aït-Ameur, Yamine; Bieber, Pierre</t>
  </si>
  <si>
    <t>An MDE-Based Synthesis of Aircraft Safety Models</t>
  </si>
  <si>
    <t>Model and Data Engineering</t>
  </si>
  <si>
    <t>978-3-642-33608-9 978-3-642-33609-6</t>
  </si>
  <si>
    <t>http://link.springer.com/10.1007/978-3-642-33609-6_6</t>
  </si>
  <si>
    <t>43-54</t>
  </si>
  <si>
    <t>DOI: 10.1007/978-3-642-33609-6_6 Series Title: Lecture Notes in Computer Science</t>
  </si>
  <si>
    <t>Yoo, Yeongmin; Park, Chang-Kyu; Lee, Jongsoo</t>
  </si>
  <si>
    <t>Deep learning-based efficient metamodeling via domain knowledge-integrated designable data augmentation with transfer learning: application to vehicle crash safety</t>
  </si>
  <si>
    <t>10.1007/s00158-022-03290-1</t>
  </si>
  <si>
    <t>https://link.springer.com/10.1007/s00158-022-03290-1</t>
  </si>
  <si>
    <t>2022-07</t>
  </si>
  <si>
    <t>189</t>
  </si>
  <si>
    <t>van den Berg, Freek; Hooman, Jozef; Haverkort, Boudewijn R.</t>
  </si>
  <si>
    <t>A Domain-Specific Language and Toolchain for Performance Evaluation Based on Measurements</t>
  </si>
  <si>
    <t>Measurement, Modelling and Evaluation of Computing Systems</t>
  </si>
  <si>
    <t>978-3-319-74946-4 978-3-319-74947-1</t>
  </si>
  <si>
    <t>http://link.springer.com/10.1007/978-3-319-74947-1_21</t>
  </si>
  <si>
    <t>295-301</t>
  </si>
  <si>
    <t>Series Title: Lecture Notes in Computer Science DOI: 10.1007/978-3-319-74947-1_21</t>
  </si>
  <si>
    <t>Zhang, Tian; Jouault, Frédéric; Bézivin, Jean; Li, Xuandong</t>
  </si>
  <si>
    <t>An MDE-based method for bridging different design notations</t>
  </si>
  <si>
    <t>10.1007/s11334-008-0052-5</t>
  </si>
  <si>
    <t>http://link.springer.com/10.1007/s11334-008-0052-5</t>
  </si>
  <si>
    <t>2008-10</t>
  </si>
  <si>
    <t>203-213</t>
  </si>
  <si>
    <t>Credit Risk Analysis with a SVM-based Metamodeling Ensemble Approach</t>
  </si>
  <si>
    <t>Bio-Inspired Credit Risk Analysis</t>
  </si>
  <si>
    <t>978-3-540-77802-8 978-3-540-77803-5</t>
  </si>
  <si>
    <t>http://link.springer.com/10.1007/978-3-540-77803-5_9</t>
  </si>
  <si>
    <t>157-177</t>
  </si>
  <si>
    <t>DOI: 10.1007/978-3-540-77803-5_9</t>
  </si>
  <si>
    <t>Sonnenberg, Christian; Huemer, Christian; Hofreiter, Birgit; Mayrhofer, Dieter; Braccini, Alessio</t>
  </si>
  <si>
    <t>The REA-DSL: A Domain Specific Modeling Language for Business Models</t>
  </si>
  <si>
    <t>Active Flow and Combustion Control 2018</t>
  </si>
  <si>
    <t>978-3-319-98176-5 978-3-319-98177-2</t>
  </si>
  <si>
    <t>http://link.springer.com/10.1007/978-3-642-21640-4_20</t>
  </si>
  <si>
    <t>252-266</t>
  </si>
  <si>
    <t>Series Title: Notes on Numerical Fluid Mechanics and Multidisciplinary Design DOI: 10.1007/978-3-642-21640-4_20</t>
  </si>
  <si>
    <t>Salon, S. J.</t>
  </si>
  <si>
    <t>Time Domain Modeling of Induction Machines</t>
  </si>
  <si>
    <t>Finite Element Analysis of Electrical Machines</t>
  </si>
  <si>
    <t>978-1-4613-5996-8 978-1-4615-2349-9</t>
  </si>
  <si>
    <t>http://link.springer.com/10.1007/978-1-4615-2349-9_9</t>
  </si>
  <si>
    <t>169-196</t>
  </si>
  <si>
    <t>Series Title: Power Electronics and Power Systems DOI: 10.1007/978-1-4615-2349-9_9</t>
  </si>
  <si>
    <t>Özkan, M. Akif; Ok, Burak; Qiao, Bo; Teich, Jürgen; Hannig, Frank</t>
  </si>
  <si>
    <t>HipaccVX: wedding of OpenVX and DSL-based code generation</t>
  </si>
  <si>
    <t>Journal of Real-Time Image Processing</t>
  </si>
  <si>
    <t>1861-8200, 1861-8219</t>
  </si>
  <si>
    <t>10.1007/s11554-020-01015-5</t>
  </si>
  <si>
    <t>https://link.springer.com/10.1007/s11554-020-01015-5</t>
  </si>
  <si>
    <t>765-777</t>
  </si>
  <si>
    <t>Forouzan, Amir R.; Garth, Lee M.</t>
  </si>
  <si>
    <t>Computationally Efficient Partial Crosstalk Cancellation in Fast Time-Varying DSL Crosstalk Environments</t>
  </si>
  <si>
    <t>EURASIP Journal on Advances in Signal Processing</t>
  </si>
  <si>
    <t>1687-6180</t>
  </si>
  <si>
    <t>10.1155/2007/72041</t>
  </si>
  <si>
    <t>https://asp-eurasipjournals.springeropen.com/articles/10.1155/2007/72041</t>
  </si>
  <si>
    <t>2007-12</t>
  </si>
  <si>
    <t>072041</t>
  </si>
  <si>
    <t>Deved¿ic, Vladan; Djuric, Dragan; Ga¿evic, Dragan</t>
  </si>
  <si>
    <t>Model Driven Engineering and Ontology Development</t>
  </si>
  <si>
    <t>978-3-642-00281-6 978-3-642-00282-3</t>
  </si>
  <si>
    <t>http://link.springer.com/10.1007/978-3-642-00282-3</t>
  </si>
  <si>
    <t>DOI: 10.1007/978-3-642-00282-3</t>
  </si>
  <si>
    <t>Menet, Ludovic; Lamolle, Myiam; Le Dc, Chan</t>
  </si>
  <si>
    <t>Incremental Validation of Models in a MDE Approach Applied to the Modeling of Complex Data Structures</t>
  </si>
  <si>
    <t>On the Move to Meaningful Internet Systems: OTM 2010 Workshops</t>
  </si>
  <si>
    <t>978-3-642-16960-1 978-3-642-16961-8</t>
  </si>
  <si>
    <t>http://link.springer.com/10.1007/978-3-642-16961-8_28</t>
  </si>
  <si>
    <t>120-129</t>
  </si>
  <si>
    <t>Series Title: Lecture Notes in Computer Science DOI: 10.1007/978-3-642-16961-8_28</t>
  </si>
  <si>
    <t>Valutazione e terapia di casi clinici nelle diverse tipologie dei DSL</t>
  </si>
  <si>
    <t>http://link.springer.com/10.1007/978-88-470-5349-6_13</t>
  </si>
  <si>
    <t>169-194</t>
  </si>
  <si>
    <t>DOI: 10.1007/978-88-470-5349-6_13</t>
  </si>
  <si>
    <t>Golasowski, Martin; Bispo, João; Martinovič, Jan; Slaninová, Kateřina; Cardoso, João M. P.</t>
  </si>
  <si>
    <t>Expressing and Applying C++ Code Transformations for the HDF5 API Through a DSL</t>
  </si>
  <si>
    <t>Computer Information Systems and Industrial Management</t>
  </si>
  <si>
    <t>978-3-319-59104-9 978-3-319-59105-6</t>
  </si>
  <si>
    <t>https://link.springer.com/10.1007/978-3-319-59105-6_26</t>
  </si>
  <si>
    <t>303-314</t>
  </si>
  <si>
    <t>Series Title: Lecture Notes in Computer Science DOI: 10.1007/978-3-319-59105-6_26</t>
  </si>
  <si>
    <t>Emoto, Kento; Sadahira, Fumihisa</t>
  </si>
  <si>
    <t>A DSL for graph parallel programming with vertex subsets</t>
  </si>
  <si>
    <t>The Journal of Supercomputing</t>
  </si>
  <si>
    <t>0920-8542, 1573-0484</t>
  </si>
  <si>
    <t>10.1007/s11227-019-02821-w</t>
  </si>
  <si>
    <t>http://link.springer.com/10.1007/s11227-019-02821-w</t>
  </si>
  <si>
    <t>2020-07</t>
  </si>
  <si>
    <t>4998-5015</t>
  </si>
  <si>
    <t>Bačíková, Michaela; Porubän, Jaroslav</t>
  </si>
  <si>
    <t>DSL-driven generation of Graphical User Interfaces</t>
  </si>
  <si>
    <t>Open Computer Science</t>
  </si>
  <si>
    <t>2299-1093</t>
  </si>
  <si>
    <t>10.2478/s13537-014-0210-9</t>
  </si>
  <si>
    <t>https://www.degruyter.com/document/doi/10.2478/s13537-014-0210-9/html</t>
  </si>
  <si>
    <t>2014-01-01</t>
  </si>
  <si>
    <t>Arnold, Bob; Shadnam, Mohammad Reza</t>
  </si>
  <si>
    <t>Analysis of Industrial Challenges and Capabilities in Computer Science and Software Development Sector: Model Driven Engineering</t>
  </si>
  <si>
    <t>Recent Advances in Computer Science and Information Engineering</t>
  </si>
  <si>
    <t>978-3-642-25777-3 978-3-642-25778-0</t>
  </si>
  <si>
    <t>http://link.springer.com/10.1007/978-3-642-25778-0_69</t>
  </si>
  <si>
    <t>499-505</t>
  </si>
  <si>
    <t>Series Title: Lecture Notes in Electrical Engineering DOI: 10.1007/978-3-642-25778-0_69</t>
  </si>
  <si>
    <t>Truşcan, Dragoş; Lundkvist, Torbjörn; Alanen, Marcus; Sandström, Kim; Porres, Ivan; Lilius, Johan</t>
  </si>
  <si>
    <t>MDE for SoC design</t>
  </si>
  <si>
    <t>10.1007/s11334-009-0077-4</t>
  </si>
  <si>
    <t>http://link.springer.com/10.1007/s11334-009-0077-4</t>
  </si>
  <si>
    <t>49-64</t>
  </si>
  <si>
    <t>Liu, Ya; Xue, Jinyun; Zhang, Zhiheng; Liu, Yang; Hu, Hongwen</t>
  </si>
  <si>
    <t>Research on the Model Transformation Method and Application of Formal Model Driven Engineering (FMDE)</t>
  </si>
  <si>
    <t>Theoretical Computer Science</t>
  </si>
  <si>
    <t>9789811674426 9789811674433</t>
  </si>
  <si>
    <t>https://link.springer.com/10.1007/978-981-16-7443-3_14</t>
  </si>
  <si>
    <t>234-254</t>
  </si>
  <si>
    <t>Series Title: Communications in Computer and Information Science DOI: 10.1007/978-981-16-7443-3_14</t>
  </si>
  <si>
    <t>Evans, Riley; Frohlich, Samantha; Wang, Meng</t>
  </si>
  <si>
    <t>$$\textsf {CircuitFlow}$$: A Domain Specific Language for Dataflow Programming</t>
  </si>
  <si>
    <t>978-3-030-94478-0 978-3-030-94479-7</t>
  </si>
  <si>
    <t>https://link.springer.com/10.1007/978-3-030-94479-7_6</t>
  </si>
  <si>
    <t>79-98</t>
  </si>
  <si>
    <t>Series Title: Lecture Notes in Computer Science DOI: 10.1007/978-3-030-94479-7_6</t>
  </si>
  <si>
    <t>Wuille, Pieter; Schrijvers, Tom; Samulowitz, Horst; Tack, Guido; Stuckey, Peter</t>
  </si>
  <si>
    <t>Memoizing a Monadic Mixin DSL</t>
  </si>
  <si>
    <t>978-3-642-22530-7 978-3-642-22531-4</t>
  </si>
  <si>
    <t>http://link.springer.com/10.1007/978-3-642-22531-4_5</t>
  </si>
  <si>
    <t>68-85</t>
  </si>
  <si>
    <t>Series Title: Lecture Notes in Computer Science DOI: 10.1007/978-3-642-22531-4_5</t>
  </si>
  <si>
    <t>Componenti disprattiche nei DSL</t>
  </si>
  <si>
    <t>La disprassia in età evolutiva: criteri di valutazione ed intervento</t>
  </si>
  <si>
    <t>978-88-470-0328-6</t>
  </si>
  <si>
    <t>http://link.springer.com/10.1007/88-470-0398-9_7</t>
  </si>
  <si>
    <t>109-124</t>
  </si>
  <si>
    <t>Milan</t>
  </si>
  <si>
    <t>DOI: 10.1007/88-470-0398-9_7</t>
  </si>
  <si>
    <t>Sabbadini, Letizia; Michelazzo, Letizia</t>
  </si>
  <si>
    <t>Metodologia di intervento nelle diverse tipologie di DSL</t>
  </si>
  <si>
    <t>http://link.springer.com/10.1007/978-88-470-5349-6_9</t>
  </si>
  <si>
    <t>135-142</t>
  </si>
  <si>
    <t>DOI: 10.1007/978-88-470-5349-6_9</t>
  </si>
  <si>
    <t>Zolotas, Christoforos; Diamantopoulos, Themistoklis; Chatzidimitriou, Kyriakos C.; Symeonidis, Andreas L.</t>
  </si>
  <si>
    <t>From requirements to source code: a Model-Driven Engineering approach for RESTful web services</t>
  </si>
  <si>
    <t>10.1007/s10515-016-0206-x</t>
  </si>
  <si>
    <t>http://link.springer.com/10.1007/s10515-016-0206-x</t>
  </si>
  <si>
    <t>2017-12</t>
  </si>
  <si>
    <t>791-838</t>
  </si>
  <si>
    <t>Arronategui, Unai; Bañares, José Ángel; Colom, José Manuel</t>
  </si>
  <si>
    <t>A MDE Approach for Modelling and Distributed Simulation of Health Systems</t>
  </si>
  <si>
    <t>Economics of Grids, Clouds, Systems, and Services</t>
  </si>
  <si>
    <t>978-3-030-63057-7 978-3-030-63058-4</t>
  </si>
  <si>
    <t>https://link.springer.com/10.1007/978-3-030-63058-4_9</t>
  </si>
  <si>
    <t>89-103</t>
  </si>
  <si>
    <t>Series Title: Lecture Notes in Computer Science DOI: 10.1007/978-3-030-63058-4_9</t>
  </si>
  <si>
    <t>Havelund, Klaus</t>
  </si>
  <si>
    <t>A Scala DSL for Rete-Based Runtime Verification</t>
  </si>
  <si>
    <t>Runtime Verification</t>
  </si>
  <si>
    <t>978-3-642-40786-4 978-3-642-40787-1</t>
  </si>
  <si>
    <t>http://link.springer.com/10.1007/978-3-642-40787-1_19</t>
  </si>
  <si>
    <t>322-327</t>
  </si>
  <si>
    <t>Series Title: Lecture Notes in Computer Science DOI: 10.1007/978-3-642-40787-1_19</t>
  </si>
  <si>
    <t>Morgan, Rebecca; Grossmann, Georg; Schrefl, Michael; Stumptner, Markus; Payne, Timothy</t>
  </si>
  <si>
    <t>VizDSL: A Visual DSL for Interactive Information Visualization</t>
  </si>
  <si>
    <t>978-3-319-91562-3 978-3-319-91563-0</t>
  </si>
  <si>
    <t>http://link.springer.com/10.1007/978-3-319-91563-0_27</t>
  </si>
  <si>
    <t>440-455</t>
  </si>
  <si>
    <t>Series Title: Lecture Notes in Computer Science DOI: 10.1007/978-3-319-91563-0_27</t>
  </si>
  <si>
    <t>Oliveira, Bruno; Belo, Orlando</t>
  </si>
  <si>
    <t>A Domain-Specific Language for ETL Patterns Specification in Data Warehousing Systems</t>
  </si>
  <si>
    <t>Progress in Artificial Intelligence</t>
  </si>
  <si>
    <t>978-3-319-23484-7 978-3-319-23485-4</t>
  </si>
  <si>
    <t>http://link.springer.com/10.1007/978-3-319-23485-4_60</t>
  </si>
  <si>
    <t>597-602</t>
  </si>
  <si>
    <t>Series Title: Lecture Notes in Computer Science DOI: 10.1007/978-3-319-23485-4_60</t>
  </si>
  <si>
    <t>Gamboa, Miguel Andrés; Syriani, Eugene</t>
  </si>
  <si>
    <t>Using Workflows to Automate Activities in MDE Tools</t>
  </si>
  <si>
    <t>978-3-319-66301-2 978-3-319-66302-9</t>
  </si>
  <si>
    <t>http://link.springer.com/10.1007/978-3-319-66302-9_2</t>
  </si>
  <si>
    <t>25-45</t>
  </si>
  <si>
    <t>Series Title: Communications in Computer and Information Science DOI: 10.1007/978-3-319-66302-9_2</t>
  </si>
  <si>
    <t>Bihlmaier, Andreas; Schreiter, Luzie; Raczkowsky, Jörg; Wörn, Heinz</t>
  </si>
  <si>
    <t>Hierarchical Task Networks as Domain-Specific Language for Planning Surgical Interventions</t>
  </si>
  <si>
    <t>Intelligent Autonomous Systems 13</t>
  </si>
  <si>
    <t>978-3-319-08337-7 978-3-319-08338-4</t>
  </si>
  <si>
    <t>http://link.springer.com/10.1007/978-3-319-08338-4_79</t>
  </si>
  <si>
    <t>1095-1105</t>
  </si>
  <si>
    <t>Series Title: Advances in Intelligent Systems and Computing DOI: 10.1007/978-3-319-08338-4_79</t>
  </si>
  <si>
    <t>Derezińska, Anna; Redosz, Karol</t>
  </si>
  <si>
    <t>A Model-Driven Engineering Approach to the Evaluation of a Remote Controller of a Movement Assistant System</t>
  </si>
  <si>
    <t>Man–Machine Interactions 4</t>
  </si>
  <si>
    <t>978-3-319-23436-6 978-3-319-23437-3</t>
  </si>
  <si>
    <t>http://link.springer.com/10.1007/978-3-319-23437-3_7</t>
  </si>
  <si>
    <t>93-102</t>
  </si>
  <si>
    <t>Series Title: Advances in Intelligent Systems and Computing DOI: 10.1007/978-3-319-23437-3_7</t>
  </si>
  <si>
    <t>Kutter, Philipp W.; Schweizer, Daniel; Thiele, Lothar</t>
  </si>
  <si>
    <t>Integrating Domain Specific Language Design in the Software Life Cycle</t>
  </si>
  <si>
    <t>Applied Formal Methods — FM-Trends 98</t>
  </si>
  <si>
    <t>978-3-540-66462-8 978-3-540-48257-4</t>
  </si>
  <si>
    <t>http://link.springer.com/10.1007/3-540-48257-1_12</t>
  </si>
  <si>
    <t>1999</t>
  </si>
  <si>
    <t>Series Title: Lecture Notes in Computer Science DOI: 10.1007/3-540-48257-1_12</t>
  </si>
  <si>
    <t>Osis, Janis; Asnina, Erika; Grave, Andrejs</t>
  </si>
  <si>
    <t>Formal Problem Domain Modeling within MDA</t>
  </si>
  <si>
    <t>Software and Data Technologies</t>
  </si>
  <si>
    <t>978-3-540-88654-9 978-3-540-88655-6</t>
  </si>
  <si>
    <t>http://link.springer.com/10.1007/978-3-540-88655-6_29</t>
  </si>
  <si>
    <t>387-398</t>
  </si>
  <si>
    <t>Series Title: Communications in Computer and Information Science DOI: 10.1007/978-3-540-88655-6_29</t>
  </si>
  <si>
    <t>Generation of Adapted Learning Game Scenarios: A Model-Driven Engineering Approach</t>
  </si>
  <si>
    <t>Computer Supported Education</t>
  </si>
  <si>
    <t>978-3-030-21150-9 978-3-030-21151-6</t>
  </si>
  <si>
    <t>http://link.springer.com/10.1007/978-3-030-21151-6_6</t>
  </si>
  <si>
    <t>95-116</t>
  </si>
  <si>
    <t>Series Title: Communications in Computer and Information Science DOI: 10.1007/978-3-030-21151-6_6</t>
  </si>
  <si>
    <t>Sinlapalun, Sakon; Limpiyakorn, Yachai</t>
  </si>
  <si>
    <t>ARSL: A Domain Specific Language for Aircraft Separation Minima Determination</t>
  </si>
  <si>
    <t>http://link.springer.com/10.1007/978-3-642-35267-6_11</t>
  </si>
  <si>
    <t>80-87</t>
  </si>
  <si>
    <t>Series Title: Communications in Computer and Information Science DOI: 10.1007/978-3-642-35267-6_11</t>
  </si>
  <si>
    <t>Mathaikutty, Deepak A.; Shukla, Sandeep K.</t>
  </si>
  <si>
    <t>MCF: A Metamodeling-based Visual Component Composition Framework</t>
  </si>
  <si>
    <t>Advances in Design and Specification Languages for Embedded Systems</t>
  </si>
  <si>
    <t>978-1-4020-6147-9</t>
  </si>
  <si>
    <t>http://link.springer.com/10.1007/978-1-4020-6149-3_19</t>
  </si>
  <si>
    <t>319-337</t>
  </si>
  <si>
    <t>DOI: 10.1007/978-1-4020-6149-3_19</t>
  </si>
  <si>
    <t>Giallorenzo, Saverio; Montesi, Fabrizio; Peressotti, Marco; Rademacher, Florian; Sachweh, Sabine</t>
  </si>
  <si>
    <t>Jolie and LEMMA: Model-Driven Engineering and Programming Languages Meet on Microservices</t>
  </si>
  <si>
    <t>Coordination Models and Languages</t>
  </si>
  <si>
    <t>978-3-030-78141-5 978-3-030-78142-2</t>
  </si>
  <si>
    <t>https://link.springer.com/10.1007/978-3-030-78142-2_17</t>
  </si>
  <si>
    <t>276-284</t>
  </si>
  <si>
    <t>Series Title: Lecture Notes in Computer Science DOI: 10.1007/978-3-030-78142-2_17</t>
  </si>
  <si>
    <t>Kalgin, Konstantin</t>
  </si>
  <si>
    <t>Domain Specific Language and Translator for Cellular Automata Models of Physico-Chemical Processes</t>
  </si>
  <si>
    <t>Parallel Computing Technologies</t>
  </si>
  <si>
    <t>978-3-642-23177-3 978-3-642-23178-0</t>
  </si>
  <si>
    <t>http://link.springer.com/10.1007/978-3-642-23178-0_14</t>
  </si>
  <si>
    <t>166-174</t>
  </si>
  <si>
    <t>Series Title: Lecture Notes in Computer Science DOI: 10.1007/978-3-642-23178-0_14</t>
  </si>
  <si>
    <t>Pederiva, Inés; Vanderdonckt, Jean; España, Sergio; Panach, Ignacio; Pastor, Oscar</t>
  </si>
  <si>
    <t>The Beautification Process in Model-Driven Engineering of User Interfaces</t>
  </si>
  <si>
    <t>Human-Computer Interaction – INTERACT 2007</t>
  </si>
  <si>
    <t>978-3-540-74794-9 978-3-540-74796-3</t>
  </si>
  <si>
    <t>http://link.springer.com/10.1007/978-3-540-74796-3_39</t>
  </si>
  <si>
    <t>411-425</t>
  </si>
  <si>
    <t>Series Title: Lecture Notes in Computer Science DOI: 10.1007/978-3-540-74796-3_39</t>
  </si>
  <si>
    <t>Süß, Jörn Guy; Swift, Samantha; Escott, Eban</t>
  </si>
  <si>
    <t>Using DevOps toolchains in Agile model-driven engineering</t>
  </si>
  <si>
    <t>10.1007/s10270-022-01003-2</t>
  </si>
  <si>
    <t>https://link.springer.com/10.1007/s10270-022-01003-2</t>
  </si>
  <si>
    <t>2022-08</t>
  </si>
  <si>
    <t>1495-1510</t>
  </si>
  <si>
    <t>Nguyen Phuoc Bao, Hoang; Clavel, Manuel</t>
  </si>
  <si>
    <t>OCL2PSQL: An OCL-to-SQL Code-Generator for Model-Driven Engineering</t>
  </si>
  <si>
    <t>Future Data and Security Engineering</t>
  </si>
  <si>
    <t>978-3-030-35652-1 978-3-030-35653-8</t>
  </si>
  <si>
    <t>http://link.springer.com/10.1007/978-3-030-35653-8_13</t>
  </si>
  <si>
    <t>185-203</t>
  </si>
  <si>
    <t>Series Title: Lecture Notes in Computer Science DOI: 10.1007/978-3-030-35653-8_13</t>
  </si>
  <si>
    <t>Butakov, Nikolay; Petrov, Maxim; Mukhina, Ksenia; Nasonov, Denis; Kovalchuk, Sergey</t>
  </si>
  <si>
    <t>Unified domain-specific language for collecting and processing data of social media</t>
  </si>
  <si>
    <t>Journal of Intelligent Information Systems</t>
  </si>
  <si>
    <t>0925-9902, 1573-7675</t>
  </si>
  <si>
    <t>10.1007/s10844-018-0508-5</t>
  </si>
  <si>
    <t>http://link.springer.com/10.1007/s10844-018-0508-5</t>
  </si>
  <si>
    <t>2018-10</t>
  </si>
  <si>
    <t>389-414</t>
  </si>
  <si>
    <t>Glöckner, Michael; Mutke, Stefan; Augenstein, Christoph; Ludwig, André</t>
  </si>
  <si>
    <t>Planning of Composite Logistics Services: Model-Driven Engineering and Evaluation</t>
  </si>
  <si>
    <t>Enterprise Information Systems</t>
  </si>
  <si>
    <t>978-3-319-29132-1 978-3-319-29133-8</t>
  </si>
  <si>
    <t>http://link.springer.com/10.1007/978-3-319-29133-8_18</t>
  </si>
  <si>
    <t>364-384</t>
  </si>
  <si>
    <t>Series Title: Lecture Notes in Business Information Processing DOI: 10.1007/978-3-319-29133-8_18</t>
  </si>
  <si>
    <t>Vacchi, Edoardo; Cazzola, Walter; Pillay, Suresh; Combemale, Benoît</t>
  </si>
  <si>
    <t>Variability Support in Domain-Specific Language Development</t>
  </si>
  <si>
    <t>http://link.springer.com/10.1007/978-3-319-02654-1_5</t>
  </si>
  <si>
    <t>76-95</t>
  </si>
  <si>
    <t>Series Title: Lecture Notes in Computer Science DOI: 10.1007/978-3-319-02654-1_5</t>
  </si>
  <si>
    <t>Model-Driven Engineering and Software Development: 8th International Conference, MODELSWARD 2020, Valletta, Malta, February 25–27, 2020, Revised Selected Papers</t>
  </si>
  <si>
    <t>http://link.springer.com/10.1007/978-3-030-67445-8</t>
  </si>
  <si>
    <t>DOI: 10.1007/978-3-030-67445-8</t>
  </si>
  <si>
    <t>Rougemaille, Sylvain; Migeon, Frédéric; Maurel, Christine; Gleizes, Marie-Pierre</t>
  </si>
  <si>
    <t>Model Driven Engineering for Designing Adaptive Multi-Agents Systems</t>
  </si>
  <si>
    <t>Engineering Societies in the Agents World VIII</t>
  </si>
  <si>
    <t>978-3-540-87653-3 978-3-540-87654-0</t>
  </si>
  <si>
    <t>http://link.springer.com/10.1007/978-3-540-87654-0_18</t>
  </si>
  <si>
    <t>318-332</t>
  </si>
  <si>
    <t>ISSN: 0302-9743, 1611-3349 Series Title: Lecture Notes in Computer Science DOI: 10.1007/978-3-540-87654-0_18</t>
  </si>
  <si>
    <t>Cosenza, Biagio; Popov, Nikita; Juurlink, Ben; Richmond, Paul; Chimeh, Mozhgan Kabiri; Spagnuolo, Carmine; Cordasco, Gennaro; Scarano, Vittorio</t>
  </si>
  <si>
    <t>OpenABL: A Domain-Specific Language for Parallel and Distributed Agent-Based Simulations</t>
  </si>
  <si>
    <t>Euro-Par 2018: Parallel Processing</t>
  </si>
  <si>
    <t>978-3-319-96982-4 978-3-319-96983-1</t>
  </si>
  <si>
    <t>https://link.springer.com/10.1007/978-3-319-96983-1_36</t>
  </si>
  <si>
    <t>505-518</t>
  </si>
  <si>
    <t>Series Title: Lecture Notes in Computer Science DOI: 10.1007/978-3-319-96983-1_36</t>
  </si>
  <si>
    <t>http://link.springer.com/10.1007/978-3-319-66302-9</t>
  </si>
  <si>
    <t>DOI: 10.1007/978-3-319-66302-9</t>
  </si>
  <si>
    <t>He, Ruan; Lacoste, Marc; Pulou, Jacques; Leneutre, Jean</t>
  </si>
  <si>
    <t>A DSL for Specifying Autonomic Security Management Strategies</t>
  </si>
  <si>
    <t>Data Privacy Management and Autonomous Spontaneous Security</t>
  </si>
  <si>
    <t>978-3-642-19347-7 978-3-642-19348-4</t>
  </si>
  <si>
    <t>http://link.springer.com/10.1007/978-3-642-19348-4_16</t>
  </si>
  <si>
    <t>216-230</t>
  </si>
  <si>
    <t>Series Title: Lecture Notes in Computer Science DOI: 10.1007/978-3-642-19348-4_16</t>
  </si>
  <si>
    <t>Noël, Frédéric; Azli, Mohd Azwan</t>
  </si>
  <si>
    <t>Experimenting New Metaphors for PDM through a Model Driven Engineering Scheme</t>
  </si>
  <si>
    <t>Product Lifecycle Management for Society</t>
  </si>
  <si>
    <t>978-3-642-41500-5 978-3-642-41501-2</t>
  </si>
  <si>
    <t>http://link.springer.com/10.1007/978-3-642-41501-2_57</t>
  </si>
  <si>
    <t>570-583</t>
  </si>
  <si>
    <t>Series Title: IFIP Advances in Information and Communication Technology DOI: 10.1007/978-3-642-41501-2_57</t>
  </si>
  <si>
    <t>Almonte, Lissette; Guerra, Esther; Cantador, Iván; de Lara, Juan</t>
  </si>
  <si>
    <t>Recommender systems in model-driven engineering: A systematic mapping review</t>
  </si>
  <si>
    <t>10.1007/s10270-021-00905-x</t>
  </si>
  <si>
    <t>https://link.springer.com/10.1007/s10270-021-00905-x</t>
  </si>
  <si>
    <t>249-280</t>
  </si>
  <si>
    <t>Yar, Asfand; Idani, Akram; Collart-Dutilleul, Simon</t>
  </si>
  <si>
    <t>Merging Railway Standard Notations in a Formal DSL-Based Framework</t>
  </si>
  <si>
    <t>Software Architecture</t>
  </si>
  <si>
    <t>978-3-030-59154-0 978-3-030-59155-7</t>
  </si>
  <si>
    <t>http://link.springer.com/10.1007/978-3-030-59155-7_30</t>
  </si>
  <si>
    <t>411-419</t>
  </si>
  <si>
    <t>Series Title: Communications in Computer and Information Science DOI: 10.1007/978-3-030-59155-7_30</t>
  </si>
  <si>
    <t>Parfieniuk, Marek; Kazberuk, Marcin; Kowalewski, Kamil</t>
  </si>
  <si>
    <t>A Compiler for a Domain-Specific Language for Rapid Implementation of DSP Transforms and Filter Banks</t>
  </si>
  <si>
    <t>Towards Modern Collaborative Knowledge Sharing Systems</t>
  </si>
  <si>
    <t>978-3-642-27445-9 978-3-642-27446-6</t>
  </si>
  <si>
    <t>http://link.springer.com/10.1007/978-3-642-27446-6_8</t>
  </si>
  <si>
    <t>83-100</t>
  </si>
  <si>
    <t>Series Title: Studies in Computational Intelligence DOI: 10.1007/978-3-642-27446-6_8</t>
  </si>
  <si>
    <t>Mayrhofer, Dieter; Huemer, Christian</t>
  </si>
  <si>
    <t>Extending the REA-DSL by the Planning Layer of the REA Ontology</t>
  </si>
  <si>
    <t>Advanced Information Systems Engineering Workshops</t>
  </si>
  <si>
    <t>978-3-642-31068-3 978-3-642-31069-0</t>
  </si>
  <si>
    <t>http://link.springer.com/10.1007/978-3-642-31069-0_45</t>
  </si>
  <si>
    <t>543-554</t>
  </si>
  <si>
    <t>Series Title: Lecture Notes in Business Information Processing DOI: 10.1007/978-3-642-31069-0_45</t>
  </si>
  <si>
    <t>Rabiser, Rick; Thanhofer-Pilisch, Jürgen; Vierhauser, Michael; Grünbacher, Paul; Egyed, Alexander</t>
  </si>
  <si>
    <t>Developing and evolving a DSL-based approach for runtime monitoring of systems of systems</t>
  </si>
  <si>
    <t>10.1007/s10515-018-0241-x</t>
  </si>
  <si>
    <t>http://link.springer.com/10.1007/s10515-018-0241-x</t>
  </si>
  <si>
    <t>875-915</t>
  </si>
  <si>
    <t>Ciccozzi, Federico; Spalazzese, Romina</t>
  </si>
  <si>
    <t>MDE4IoT: Supporting the Internet of Things with Model-Driven Engineering</t>
  </si>
  <si>
    <t>Intelligent Distributed Computing X</t>
  </si>
  <si>
    <t>978-3-319-48828-8 978-3-319-48829-5</t>
  </si>
  <si>
    <t>http://link.springer.com/10.1007/978-3-319-48829-5_7</t>
  </si>
  <si>
    <t>67-76</t>
  </si>
  <si>
    <t>Series Title: Studies in Computational Intelligence DOI: 10.1007/978-3-319-48829-5_7</t>
  </si>
  <si>
    <t>Heisler, Eric; Deshmukh, Aadesh; Sundar, Hari</t>
  </si>
  <si>
    <t>Finch: Domain Specific Language and Code Generation for Finite Element and Finite Volume in Julia</t>
  </si>
  <si>
    <t>Computational Science – ICCS 2022</t>
  </si>
  <si>
    <t>978-3-031-08750-9 978-3-031-08751-6</t>
  </si>
  <si>
    <t>https://link.springer.com/10.1007/978-3-031-08751-6_9</t>
  </si>
  <si>
    <t>118-132</t>
  </si>
  <si>
    <t>Series Title: Lecture Notes in Computer Science DOI: 10.1007/978-3-031-08751-6_9</t>
  </si>
  <si>
    <t>Alhijazi, Mohamad; Safaei, Babak; Zeeshan, Qasim; Asmael, Mohammed; Harb, Mohammad; Qin, Zhaoye</t>
  </si>
  <si>
    <t>An Experimental and Metamodeling Approach to Tensile Properties of Natural Fibers Composites</t>
  </si>
  <si>
    <t>Journal of Polymers and the Environment</t>
  </si>
  <si>
    <t>1566-2543, 1572-8919</t>
  </si>
  <si>
    <t>10.1007/s10924-022-02514-1</t>
  </si>
  <si>
    <t>https://link.springer.com/10.1007/s10924-022-02514-1</t>
  </si>
  <si>
    <t>2022-10</t>
  </si>
  <si>
    <t>4377-4393</t>
  </si>
  <si>
    <t>10</t>
  </si>
  <si>
    <t>Aarab, Zineb; Saidi, Rajaa; Rahmani, Moulay Driss</t>
  </si>
  <si>
    <t>Context Modeling and Metamodeling: A State of the Art</t>
  </si>
  <si>
    <t>Proceedings of the Mediterranean Conference on Information &amp; Communication Technologies 2015</t>
  </si>
  <si>
    <t>978-3-319-30296-6 978-3-319-30298-0</t>
  </si>
  <si>
    <t>http://link.springer.com/10.1007/978-3-319-30298-0_30</t>
  </si>
  <si>
    <t>287-295</t>
  </si>
  <si>
    <t>Series Title: Lecture Notes in Electrical Engineering DOI: 10.1007/978-3-319-30298-0_30</t>
  </si>
  <si>
    <t>Kopernik, Magdalena; Stanisławczyk, Andrzej; Kusiak, Jan; Pietrzyk, Maciej</t>
  </si>
  <si>
    <t>Identification of Material Models of Nanocoatings System Using the Metamodeling Approach</t>
  </si>
  <si>
    <t>System Modeling and Optimization</t>
  </si>
  <si>
    <t>978-3-642-04801-2 978-3-642-04802-9</t>
  </si>
  <si>
    <t>http://link.springer.com/10.1007/978-3-642-04802-9_18</t>
  </si>
  <si>
    <t>319-330</t>
  </si>
  <si>
    <t>Series Title: IFIP Advances in Information and Communication Technology DOI: 10.1007/978-3-642-04802-9_18</t>
  </si>
  <si>
    <t>Amaral de Sousa, Victor; Burnay, Corentin; Snoeck, Monique</t>
  </si>
  <si>
    <t>B-MERODE: A Model-Driven Engineering and Artifact-Centric Approach to Generate Blockchain-Based Information Systems</t>
  </si>
  <si>
    <t>978-3-030-49434-6 978-3-030-49435-3</t>
  </si>
  <si>
    <t>http://link.springer.com/10.1007/978-3-030-49435-3_8</t>
  </si>
  <si>
    <t>117-133</t>
  </si>
  <si>
    <t>Series Title: Lecture Notes in Computer Science DOI: 10.1007/978-3-030-49435-3_8</t>
  </si>
  <si>
    <t>Farwick, Matthias; Agreiter, Berthold; White, Jules; Forster, Simon; Lanzanasto, Norbert; Breu, Ruth</t>
  </si>
  <si>
    <t>A Web-Based Collaborative Metamodeling Environment with Secure Remote Model Access</t>
  </si>
  <si>
    <t>Web Engineering</t>
  </si>
  <si>
    <t>978-3-642-13910-9 978-3-642-13911-6</t>
  </si>
  <si>
    <t>http://link.springer.com/10.1007/978-3-642-13911-6_19</t>
  </si>
  <si>
    <t>278-291</t>
  </si>
  <si>
    <t>Series Title: Lecture Notes in Computer Science DOI: 10.1007/978-3-642-13911-6_19</t>
  </si>
  <si>
    <t>Rouquette, Nicolas F.</t>
  </si>
  <si>
    <t>Simplifying OMG MOF-Based Metamodeling</t>
  </si>
  <si>
    <t>http://link.springer.com/10.1007/978-3-319-47169-3_8</t>
  </si>
  <si>
    <t>97-118</t>
  </si>
  <si>
    <t>Series Title: Lecture Notes in Computer Science DOI: 10.1007/978-3-319-47169-3_8</t>
  </si>
  <si>
    <t>Mainland, Geoffrey</t>
  </si>
  <si>
    <t>A Domain-Specific Language for Software-Defined Radio</t>
  </si>
  <si>
    <t>978-3-319-51675-2 978-3-319-51676-9</t>
  </si>
  <si>
    <t>http://link.springer.com/10.1007/978-3-319-51676-9_12</t>
  </si>
  <si>
    <t>173-188</t>
  </si>
  <si>
    <t>Series Title: Lecture Notes in Computer Science DOI: 10.1007/978-3-319-51676-9_12</t>
  </si>
  <si>
    <t>Otter, Martin</t>
  </si>
  <si>
    <t>Multi-domain Modeling and Simulation</t>
  </si>
  <si>
    <t>Encyclopedia of Systems and Control</t>
  </si>
  <si>
    <t>978-1-4471-5102-9</t>
  </si>
  <si>
    <t>http://link.springer.com/10.1007/978-1-4471-5102-9_140-2</t>
  </si>
  <si>
    <t>1-13</t>
  </si>
  <si>
    <t>Springer London</t>
  </si>
  <si>
    <t>London</t>
  </si>
  <si>
    <t>DOI: 10.1007/978-1-4471-5102-9_140-2</t>
  </si>
  <si>
    <t>Steel, Jim; Jézéquel, Jean-Marc</t>
  </si>
  <si>
    <t>Model Typing for Improving Reuse in Model-Driven Engineering</t>
  </si>
  <si>
    <t>http://link.springer.com/10.1007/11557432_7</t>
  </si>
  <si>
    <t>84-96</t>
  </si>
  <si>
    <t>Series Title: Lecture Notes in Computer Science DOI: 10.1007/11557432_7</t>
  </si>
  <si>
    <t>Zielenski, Julian; Aznarez, Isabel; Onay, Tuncer; Tzounzouris, John; Markiewicz, Danuta; Tsui, Lap-Chee</t>
  </si>
  <si>
    <t>CFTR Mutation Detection by Multiplex Heteroduplex (mHET) Analysis on MDE Gel</t>
  </si>
  <si>
    <t>Cystic Fibrosis Methods and Protocols</t>
  </si>
  <si>
    <t>978-1-59259-187-9</t>
  </si>
  <si>
    <t>http://link.springer.com/10.1385/1-59259-187-6:03</t>
  </si>
  <si>
    <t>2002-03-04</t>
  </si>
  <si>
    <t>03-20</t>
  </si>
  <si>
    <t>Humana Press</t>
  </si>
  <si>
    <t>New Jersey</t>
  </si>
  <si>
    <t>DOI: 10.1385/1-59259-187-6:03 DOI: 10.1385/1-59259-187-6:03</t>
  </si>
  <si>
    <t>Yang, Qian; Cai, Shu; Dong, Shaowei; Chen, Lulu; Chen, Jifei; Cai, Tianming</t>
  </si>
  <si>
    <t>Biodegradation of 3-methyldiphenylether (MDE) by Hydrogenophaga atypical strain QY7-2 and cloning of the methy-oxidation gene mdeABCD</t>
  </si>
  <si>
    <t>Scientific Reports</t>
  </si>
  <si>
    <t>2045-2322</t>
  </si>
  <si>
    <t>10.1038/srep39270</t>
  </si>
  <si>
    <t>http://www.nature.com/articles/srep39270</t>
  </si>
  <si>
    <t>2016-12</t>
  </si>
  <si>
    <t>39270</t>
  </si>
  <si>
    <t>Morbach, J.; Theißen, M.; Marquardt, W.</t>
  </si>
  <si>
    <t>An Introduction to Application Domain Modeling</t>
  </si>
  <si>
    <t>Collaborative and Distributed Chemical Engineering. From Understanding to Substantial Design Process Support</t>
  </si>
  <si>
    <t>978-3-540-70551-2 978-3-540-70552-9</t>
  </si>
  <si>
    <t>http://link.springer.com/10.1007/978-3-540-70552-9_4</t>
  </si>
  <si>
    <t>83-92</t>
  </si>
  <si>
    <t>ISSN: 0302-9743, 1611-3349 Series Title: Lecture Notes in Computer Science DOI: 10.1007/978-3-540-70552-9_4</t>
  </si>
  <si>
    <t>Toro, Carlos; Graña, Manuel; Posada, Jorge; Vaquero, Javier; Sanín, Cesar; Szczerbicki, Edward</t>
  </si>
  <si>
    <t>Domain Modeling Based on Engineering Standards</t>
  </si>
  <si>
    <t>Knowledge-Based and Intelligent Information and Engineering Systems</t>
  </si>
  <si>
    <t>978-3-642-04594-3 978-3-642-04595-0</t>
  </si>
  <si>
    <t>http://link.springer.com/10.1007/978-3-642-04595-0_12</t>
  </si>
  <si>
    <t>95-102</t>
  </si>
  <si>
    <t>Series Title: Lecture Notes in Computer Science DOI: 10.1007/978-3-642-04595-0_12</t>
  </si>
  <si>
    <t>Amaral, Vasco; Mernik, Marjan</t>
  </si>
  <si>
    <t>Special issue on quality in model-driven engineering</t>
  </si>
  <si>
    <t>Software Quality Journal</t>
  </si>
  <si>
    <t>0963-9314, 1573-1367</t>
  </si>
  <si>
    <t>10.1007/s11219-016-9327-5</t>
  </si>
  <si>
    <t>http://link.springer.com/10.1007/s11219-016-9327-5</t>
  </si>
  <si>
    <t>597-599</t>
  </si>
  <si>
    <t>Fernandez-Duarte, Karem Prunella; Olaya-Galán, Nury Nathalia; Salas-Cárdenas, Sandra Patricia; Lopez-Rozo, Jazmin; Gutierrez-Fernandez, Maria Fernanda</t>
  </si>
  <si>
    <t>Bifidobacterium adolescentis (DSM 20083) and Lactobacillus casei (Lafti L26-DSL): Probiotics Able to Block the In Vitro Adherence of Rotavirus in MA104 Cells</t>
  </si>
  <si>
    <t>Probiotics and Antimicrobial Proteins</t>
  </si>
  <si>
    <t>1867-1306, 1867-1314</t>
  </si>
  <si>
    <t>10.1007/s12602-017-9277-7</t>
  </si>
  <si>
    <t>http://link.springer.com/10.1007/s12602-017-9277-7</t>
  </si>
  <si>
    <t>2018-03</t>
  </si>
  <si>
    <t>56-63</t>
  </si>
  <si>
    <t>Bargigli, Leonardo; Riccetti, Luca; Russo, Alberto; Gallegati, Mauro</t>
  </si>
  <si>
    <t>Network calibration and metamodeling of a financial accelerator agent based model</t>
  </si>
  <si>
    <t>Journal of Economic Interaction and Coordination</t>
  </si>
  <si>
    <t>1860-711X, 1860-7128</t>
  </si>
  <si>
    <t>10.1007/s11403-018-0217-8</t>
  </si>
  <si>
    <t>http://link.springer.com/10.1007/s11403-018-0217-8</t>
  </si>
  <si>
    <t>2020-04</t>
  </si>
  <si>
    <t>413-440</t>
  </si>
  <si>
    <t>Zhang, Zhi; Jewett, Don L.</t>
  </si>
  <si>
    <t>DSL and MUSIC Under model misspecification and noise-conditions</t>
  </si>
  <si>
    <t>Brain Topography</t>
  </si>
  <si>
    <t>0896-0267, 1573-6792</t>
  </si>
  <si>
    <t>10.1007/BF01186773</t>
  </si>
  <si>
    <t>http://link.springer.com/10.1007/BF01186773</t>
  </si>
  <si>
    <t>1994-12</t>
  </si>
  <si>
    <t>151-161</t>
  </si>
  <si>
    <t>Groenewegen, Danny M.; Visser, Eelco</t>
  </si>
  <si>
    <t>Integration of data validation and user interface concerns in a DSL for web applications</t>
  </si>
  <si>
    <t>10.1007/s10270-010-0173-9</t>
  </si>
  <si>
    <t>http://link.springer.com/10.1007/s10270-010-0173-9</t>
  </si>
  <si>
    <t>2013-02</t>
  </si>
  <si>
    <t>35-52</t>
  </si>
  <si>
    <t>Hoffmann, Benjamin; Urquhart, Neil; Chalmers, Kevin; Guckert, Michael</t>
  </si>
  <si>
    <t>An empirical evaluation of a novel domain-specific language – modelling vehicle routing problems with Athos</t>
  </si>
  <si>
    <t>Empirical Software Engineering</t>
  </si>
  <si>
    <t>1382-3256, 1573-7616</t>
  </si>
  <si>
    <t>10.1007/s10664-022-10210-w</t>
  </si>
  <si>
    <t>https://link.springer.com/10.1007/s10664-022-10210-w</t>
  </si>
  <si>
    <t>Kossakowski, Grzegorz; Amin, Nada; Rompf, Tiark; Odersky, Martin</t>
  </si>
  <si>
    <t>JavaScript as an Embedded DSL</t>
  </si>
  <si>
    <t>ECOOP 2012 – Object-Oriented Programming</t>
  </si>
  <si>
    <t>978-3-642-31056-0 978-3-642-31057-7</t>
  </si>
  <si>
    <t>http://link.springer.com/10.1007/978-3-642-31057-7_19</t>
  </si>
  <si>
    <t>409-434</t>
  </si>
  <si>
    <t>Series Title: Lecture Notes in Computer Science DOI: 10.1007/978-3-642-31057-7_19</t>
  </si>
  <si>
    <t>Hammond, Kevin; Michaelson, Greg</t>
  </si>
  <si>
    <t>Hume: A Domain-Specific Language for Real-Time Embedded Systems</t>
  </si>
  <si>
    <t>978-3-540-20102-1 978-3-540-39815-8</t>
  </si>
  <si>
    <t>http://link.springer.com/10.1007/978-3-540-39815-8_3</t>
  </si>
  <si>
    <t>37-56</t>
  </si>
  <si>
    <t>Series Title: Lecture Notes in Computer Science DOI: 10.1007/978-3-540-39815-8_3</t>
  </si>
  <si>
    <t>Karagiannis, Dimitris; Höfferer, Peter</t>
  </si>
  <si>
    <t>Metamodeling as an Integration Concept</t>
  </si>
  <si>
    <t>978-3-540-70619-9 978-3-540-70621-2</t>
  </si>
  <si>
    <t>http://link.springer.com/10.1007/978-3-540-70621-2_4</t>
  </si>
  <si>
    <t>37-50</t>
  </si>
  <si>
    <t>ISSN: 1865-0929, 1865-0937 Series Title: Communications in Computer and Information Science DOI: 10.1007/978-3-540-70621-2_4</t>
  </si>
  <si>
    <t>Chen, Liming; Qiu, Haobo; Jiang, Chen; Xiao, Mi; Gao, Liang</t>
  </si>
  <si>
    <t>Support Vector enhanced Kriging for metamodeling with noisy data</t>
  </si>
  <si>
    <t>10.1007/s00158-017-1831-0</t>
  </si>
  <si>
    <t>http://link.springer.com/10.1007/s00158-017-1831-0</t>
  </si>
  <si>
    <t>1611-1623</t>
  </si>
  <si>
    <t>Iung, Aníbal; Carbonell, João; Marchezan, Luciano; Rodrigues, Elder; Bernardino, Maicon; Basso, Fabio Paulo; Medeiros, Bruno</t>
  </si>
  <si>
    <t>Systematic mapping study on domain-specific language development tools</t>
  </si>
  <si>
    <t>10.1007/s10664-020-09872-1</t>
  </si>
  <si>
    <t>https://link.springer.com/10.1007/s10664-020-09872-1</t>
  </si>
  <si>
    <t>4205-4249</t>
  </si>
  <si>
    <t>Fickenscher, Jörg; Hannig, Frank; Teich, Jürgen</t>
  </si>
  <si>
    <t>DSL-Based Acceleration of Automotive Environment Perception and Mapping Algorithms for Embedded CPUs, GPUs, and FPGAs</t>
  </si>
  <si>
    <t>Architecture of Computing Systems – ARCS 2019</t>
  </si>
  <si>
    <t>978-3-030-18655-5 978-3-030-18656-2</t>
  </si>
  <si>
    <t>http://link.springer.com/10.1007/978-3-030-18656-2_6</t>
  </si>
  <si>
    <t>71-86</t>
  </si>
  <si>
    <t>Series Title: Lecture Notes in Computer Science DOI: 10.1007/978-3-030-18656-2_6</t>
  </si>
  <si>
    <t>Sottet, Jean-Sébastien; Calvary, Gaëlle; Favre, Jean-Marie; Coutaz, Joëlle; Demeure, Alexandre; Balme, Lionel</t>
  </si>
  <si>
    <t>Towards Model Driven Engineering of Plastic User Interfaces</t>
  </si>
  <si>
    <t>Satellite Events at the MoDELS 2005 Conference</t>
  </si>
  <si>
    <t>978-3-540-31780-7 978-3-540-31781-4</t>
  </si>
  <si>
    <t>http://link.springer.com/10.1007/11663430_20</t>
  </si>
  <si>
    <t>191-200</t>
  </si>
  <si>
    <t>Series Title: Lecture Notes in Computer Science DOI: 10.1007/11663430_20</t>
  </si>
  <si>
    <t>Saleem, Muhammad Qaiser; Jaafar, Jafreezal; Hassan, Mohd Fadzil</t>
  </si>
  <si>
    <t>Security Modeling of SOA System Using Security Intent DSL</t>
  </si>
  <si>
    <t>Software Engineering and Computer Systems</t>
  </si>
  <si>
    <t>978-3-642-22202-3 978-3-642-22203-0</t>
  </si>
  <si>
    <t>http://link.springer.com/10.1007/978-3-642-22203-0_16</t>
  </si>
  <si>
    <t>176-190</t>
  </si>
  <si>
    <t>Series Title: Communications in Computer and Information Science DOI: 10.1007/978-3-642-22203-0_16</t>
  </si>
  <si>
    <t>Kushari, Subrata; Gupta, Kritesh Kumar; Vaishali; Dey, Sudip</t>
  </si>
  <si>
    <t>Metamodeling-assisted probabilistic first ply failure analysis of laminated composite plates—RS-HDMR- and GPR-based approach</t>
  </si>
  <si>
    <t>Journal of the Brazilian Society of Mechanical Sciences and Engineering</t>
  </si>
  <si>
    <t>1678-5878, 1806-3691</t>
  </si>
  <si>
    <t>10.1007/s40430-022-03674-w</t>
  </si>
  <si>
    <t>https://link.springer.com/10.1007/s40430-022-03674-w</t>
  </si>
  <si>
    <t>374</t>
  </si>
  <si>
    <t>Coelho, Luis Pedro; Alves, Renato; Monteiro, Paulo; Huerta-Cepas, Jaime; Freitas, Ana Teresa; Bork, Peer</t>
  </si>
  <si>
    <t>NG-meta-profiler: fast processing of metagenomes using NGLess, a domain-specific language</t>
  </si>
  <si>
    <t>Microbiome</t>
  </si>
  <si>
    <t>2049-2618</t>
  </si>
  <si>
    <t>10.1186/s40168-019-0684-8</t>
  </si>
  <si>
    <t>https://microbiomejournal.biomedcentral.com/articles/10.1186/s40168-019-0684-8</t>
  </si>
  <si>
    <t>84</t>
  </si>
  <si>
    <t>van Gigch, John P.</t>
  </si>
  <si>
    <t>Diagnosis and Metamodeling of System Failures</t>
  </si>
  <si>
    <t>System Design Modeling and Metamodeling</t>
  </si>
  <si>
    <t>978-1-4899-0678-6 978-1-4899-0676-2</t>
  </si>
  <si>
    <t>http://link.springer.com/10.1007/978-1-4899-0676-2_14</t>
  </si>
  <si>
    <t>297-310</t>
  </si>
  <si>
    <t>DOI: 10.1007/978-1-4899-0676-2_14</t>
  </si>
  <si>
    <t>Mulo, Emmanuel; Zdun, Uwe; Dustdar, Schahram</t>
  </si>
  <si>
    <t>Domain-specific language for event-based compliance monitoring in process-driven SOAs</t>
  </si>
  <si>
    <t>Service Oriented Computing and Applications</t>
  </si>
  <si>
    <t>1863-2386, 1863-2394</t>
  </si>
  <si>
    <t>10.1007/s11761-012-0121-3</t>
  </si>
  <si>
    <t>http://link.springer.com/10.1007/s11761-012-0121-3</t>
  </si>
  <si>
    <t>2013-03</t>
  </si>
  <si>
    <t>59-73</t>
  </si>
  <si>
    <t>Grossmann, Georg; Jordan, Andreas; Muruganandha, Rishi; Selway, Matt; Stumptner, Markus</t>
  </si>
  <si>
    <t>Enabling Information Interoperability through Multi-domain Modeling</t>
  </si>
  <si>
    <t>Practice-Driven Research on Enterprise Transformation</t>
  </si>
  <si>
    <t>978-3-642-38773-9 978-3-642-38774-6</t>
  </si>
  <si>
    <t>http://link.springer.com/10.1007/978-3-642-38774-6_2</t>
  </si>
  <si>
    <t>16-33</t>
  </si>
  <si>
    <t>Series Title: Lecture Notes in Business Information Processing DOI: 10.1007/978-3-642-38774-6_2</t>
  </si>
  <si>
    <t>Abramov, Jenny; Sturm, Arnon</t>
  </si>
  <si>
    <t>Supporting Layered Architecture Specifications: A Domain Modeling Approach</t>
  </si>
  <si>
    <t>Enterprise, Business-Process and Information Systems Modeling</t>
  </si>
  <si>
    <t>978-3-642-13050-2 978-3-642-13051-9</t>
  </si>
  <si>
    <t>http://link.springer.com/10.1007/978-3-642-13051-9_17</t>
  </si>
  <si>
    <t>195-207</t>
  </si>
  <si>
    <t>Series Title: Lecture Notes in Business Information Processing DOI: 10.1007/978-3-642-13051-9_17</t>
  </si>
  <si>
    <t>Wu, Wenming; Dong, Yisheng</t>
  </si>
  <si>
    <t>Metamodeling-Based Semantic Web Languages</t>
  </si>
  <si>
    <t>E-Commerce and Web Technologies</t>
  </si>
  <si>
    <t>978-3-540-40808-6 978-3-540-45229-4</t>
  </si>
  <si>
    <t>http://link.springer.com/10.1007/978-3-540-45229-4_33</t>
  </si>
  <si>
    <t>339-347</t>
  </si>
  <si>
    <t>Series Title: Lecture Notes in Computer Science DOI: 10.1007/978-3-540-45229-4_33</t>
  </si>
  <si>
    <t>Hu, Wang; Enying, Li; Li, G. Y.; Zhong, Z. H.</t>
  </si>
  <si>
    <t>Optimization of sheet metal forming processes by the use of space mapping based metamodeling method</t>
  </si>
  <si>
    <t>The International Journal of Advanced Manufacturing Technology</t>
  </si>
  <si>
    <t>0268-3768, 1433-3015</t>
  </si>
  <si>
    <t>10.1007/s00170-007-1253-z</t>
  </si>
  <si>
    <t>http://link.springer.com/10.1007/s00170-007-1253-z</t>
  </si>
  <si>
    <t>2008-11</t>
  </si>
  <si>
    <t>642-655</t>
  </si>
  <si>
    <t>7-8</t>
  </si>
  <si>
    <t>Dingel, Juergen</t>
  </si>
  <si>
    <t>Complexity is the Only Constant: Trends in Computing and Their Relevance to Model Driven Engineering</t>
  </si>
  <si>
    <t>Graph Transformation</t>
  </si>
  <si>
    <t>978-3-319-40529-2 978-3-319-40530-8</t>
  </si>
  <si>
    <t>http://link.springer.com/10.1007/978-3-319-40530-8_1</t>
  </si>
  <si>
    <t>3-18</t>
  </si>
  <si>
    <t>Series Title: Lecture Notes in Computer Science DOI: 10.1007/978-3-319-40530-8_1</t>
  </si>
  <si>
    <t>Yang, Bin; Qiao, Lihong; Cai, Na; Zhu, Zuowei; Wulan, Muqi</t>
  </si>
  <si>
    <t>Manufacturing process information modeling using a metamodeling approach</t>
  </si>
  <si>
    <t>10.1007/s00170-016-9979-0</t>
  </si>
  <si>
    <t>http://link.springer.com/10.1007/s00170-016-9979-0</t>
  </si>
  <si>
    <t>1579-1596</t>
  </si>
  <si>
    <t>5-8</t>
  </si>
  <si>
    <t>Di Ruscio, Davide; Kolovos, Dimitris; de Lara, Juan; Pierantonio, Alfonso; Tisi, Massimo; Wimmer, Manuel</t>
  </si>
  <si>
    <t>Low-code development and model-driven engineering: Two sides of the same coin?</t>
  </si>
  <si>
    <t>10.1007/s10270-021-00970-2</t>
  </si>
  <si>
    <t>https://link.springer.com/10.1007/s10270-021-00970-2</t>
  </si>
  <si>
    <t>437-446</t>
  </si>
  <si>
    <t>Chen, Liming; Wang, Hu; Ye, Fan; Hu, Wei</t>
  </si>
  <si>
    <t>Comparative study of HDMRs and other popular metamodeling techniques for high dimensional problems</t>
  </si>
  <si>
    <t>10.1007/s00158-018-2046-8</t>
  </si>
  <si>
    <t>http://link.springer.com/10.1007/s00158-018-2046-8</t>
  </si>
  <si>
    <t>2019-01</t>
  </si>
  <si>
    <t>21-42</t>
  </si>
  <si>
    <t>Swacha, Jakub</t>
  </si>
  <si>
    <t>SIPE: A Domain-Specific Language for Specifying Interactive Programming Exercises</t>
  </si>
  <si>
    <t>Towards a Synergistic Combination of Research and Practice in Software Engineering</t>
  </si>
  <si>
    <t>978-3-319-65207-8 978-3-319-65208-5</t>
  </si>
  <si>
    <t>http://link.springer.com/10.1007/978-3-319-65208-5_2</t>
  </si>
  <si>
    <t>15-29</t>
  </si>
  <si>
    <t>Series Title: Studies in Computational Intelligence DOI: 10.1007/978-3-319-65208-5_2</t>
  </si>
  <si>
    <t>Zheng, Jun</t>
  </si>
  <si>
    <t>An output mapping variable fidelity metamodeling approach based on nested Latin hypercube design for complex engineering design optimization</t>
  </si>
  <si>
    <t>Applied Intelligence</t>
  </si>
  <si>
    <t>0924-669X, 1573-7497</t>
  </si>
  <si>
    <t>10.1007/s10489-018-1164-8</t>
  </si>
  <si>
    <t>http://link.springer.com/10.1007/s10489-018-1164-8</t>
  </si>
  <si>
    <t>3591-3611</t>
  </si>
  <si>
    <t>Schlegel, Christian; Steck, Andreas; Brugali, Davide; Knoll, Alois</t>
  </si>
  <si>
    <t>Design Abstraction and Processes in Robotics: From Code-Driven to Model-Driven Engineering</t>
  </si>
  <si>
    <t>Simulation, Modeling, and Programming for Autonomous Robots</t>
  </si>
  <si>
    <t>978-3-642-17318-9 978-3-642-17319-6</t>
  </si>
  <si>
    <t>http://link.springer.com/10.1007/978-3-642-17319-6_31</t>
  </si>
  <si>
    <t>324-335</t>
  </si>
  <si>
    <t>Series Title: Lecture Notes in Computer Science DOI: 10.1007/978-3-642-17319-6_31</t>
  </si>
  <si>
    <t>Pergl, Robert</t>
  </si>
  <si>
    <t>Modelling and Prototyping of Business Applications Based on Multilevel Domain-Specific Language</t>
  </si>
  <si>
    <t>Enterprise and Organizational Modeling and Simulation</t>
  </si>
  <si>
    <t>978-3-642-24174-1 978-3-642-24175-8</t>
  </si>
  <si>
    <t>http://link.springer.com/10.1007/978-3-642-24175-8_13</t>
  </si>
  <si>
    <t>173-191</t>
  </si>
  <si>
    <t>Series Title: Lecture Notes in Business Information Processing DOI: 10.1007/978-3-642-24175-8_13</t>
  </si>
  <si>
    <t>Hacid, Kahina; Ait-Ameur, Yamine</t>
  </si>
  <si>
    <t>Strengthening MDE and Formal Design Models by References to Domain Ontologies. A Model Annotation Based Approach</t>
  </si>
  <si>
    <t>Leveraging Applications of Formal Methods, Verification and Validation: Foundational Techniques</t>
  </si>
  <si>
    <t>978-3-319-47165-5 978-3-319-47166-2</t>
  </si>
  <si>
    <t>http://link.springer.com/10.1007/978-3-319-47166-2_24</t>
  </si>
  <si>
    <t>340-357</t>
  </si>
  <si>
    <t>DOI: 10.1007/978-3-319-47166-2_24 Series Title: Lecture Notes in Computer Science</t>
  </si>
  <si>
    <t>Calegari, Daniel; Mossakowski, Till; Szasz, Nora</t>
  </si>
  <si>
    <t>Model-Driven Engineering in the Heterogeneous Tool Set</t>
  </si>
  <si>
    <t>Formal Methods: Foundations and Applications</t>
  </si>
  <si>
    <t>978-3-319-15074-1 978-3-319-15075-8</t>
  </si>
  <si>
    <t>http://link.springer.com/10.1007/978-3-319-15075-8_5</t>
  </si>
  <si>
    <t>64-79</t>
  </si>
  <si>
    <t>Series Title: Lecture Notes in Computer Science DOI: 10.1007/978-3-319-15075-8_5</t>
  </si>
  <si>
    <t>Alulema, Darwin; Criado, Javier; Iribarne, Luis</t>
  </si>
  <si>
    <t>IoTV: Merging DTV and MDE Technologies on the Internet of Things</t>
  </si>
  <si>
    <t>Information Technology and Systems</t>
  </si>
  <si>
    <t>978-3-030-11889-1 978-3-030-11890-7</t>
  </si>
  <si>
    <t>http://link.springer.com/10.1007/978-3-030-11890-7_25</t>
  </si>
  <si>
    <t>255-264</t>
  </si>
  <si>
    <t>Series Title: Advances in Intelligent Systems and Computing DOI: 10.1007/978-3-030-11890-7_25</t>
  </si>
  <si>
    <t>Berg, Christian; Zimmermann, Wolf</t>
  </si>
  <si>
    <t>DSL Implementation for Model-Based Development of Pumps</t>
  </si>
  <si>
    <t>Leveraging Applications of Formal Methods, Verification and Validation. Technologies for Mastering Change</t>
  </si>
  <si>
    <t>978-3-662-45233-2 978-3-662-45234-9</t>
  </si>
  <si>
    <t>http://link.springer.com/10.1007/978-3-662-45234-9_28</t>
  </si>
  <si>
    <t>391-406</t>
  </si>
  <si>
    <t>Series Title: Lecture Notes in Computer Science DOI: 10.1007/978-3-662-45234-9_28</t>
  </si>
  <si>
    <t>Tratt, Laurence</t>
  </si>
  <si>
    <t>Evolving a DSL Implementation</t>
  </si>
  <si>
    <t>Generative and Transformational Techniques in Software Engineering II</t>
  </si>
  <si>
    <t>978-3-540-88642-6 978-3-540-88643-3</t>
  </si>
  <si>
    <t>http://link.springer.com/10.1007/978-3-540-88643-3_11</t>
  </si>
  <si>
    <t>425-441</t>
  </si>
  <si>
    <t>Series Title: Lecture Notes in Computer Science DOI: 10.1007/978-3-540-88643-3_11</t>
  </si>
  <si>
    <t>Lefebvre, Sidonie; Roblin, Antoine; Varet, Suzanne; Durand, Gérard</t>
  </si>
  <si>
    <t>Metamodeling of aircraft infrared signature dispersion</t>
  </si>
  <si>
    <t>AStA Advances in Statistical Analysis</t>
  </si>
  <si>
    <t>1863-8171, 1863-818X</t>
  </si>
  <si>
    <t>10.1007/s10182-010-0146-x</t>
  </si>
  <si>
    <t>http://link.springer.com/10.1007/s10182-010-0146-x</t>
  </si>
  <si>
    <t>2010-12</t>
  </si>
  <si>
    <t>405-422</t>
  </si>
  <si>
    <t>Belloir, Nicolas; Buisson, Jérémy; Touseau, Lionel</t>
  </si>
  <si>
    <t>Model-Driven Engineering as the Interface for Tactical Operation Order of Mixed Robot/Human Platoons</t>
  </si>
  <si>
    <t>Developments and Advances in Defense and Security</t>
  </si>
  <si>
    <t>9789811648830 9789811648847</t>
  </si>
  <si>
    <t>https://link.springer.com/10.1007/978-981-16-4884-7_16</t>
  </si>
  <si>
    <t>205-214</t>
  </si>
  <si>
    <t>Series Title: Smart Innovation, Systems and Technologies DOI: 10.1007/978-981-16-4884-7_16</t>
  </si>
  <si>
    <t>Curty, Simon; Härer, Felix; Fill, Hans-Georg</t>
  </si>
  <si>
    <t>Blockchain Application Development Using Model-Driven Engineering and Low-Code Platforms: A Survey</t>
  </si>
  <si>
    <t>978-3-031-07474-5 978-3-031-07475-2</t>
  </si>
  <si>
    <t>https://link.springer.com/10.1007/978-3-031-07475-2_14</t>
  </si>
  <si>
    <t>205-220</t>
  </si>
  <si>
    <t>Series Title: Lecture Notes in Business Information Processing DOI: 10.1007/978-3-031-07475-2_14</t>
  </si>
  <si>
    <t>Oetsch, Johannes; Pührer, Jörg; Seidl, Martina; Tompits, Hans; Zwickl, Patrick</t>
  </si>
  <si>
    <t>VIDEAS: A Development Tool for Answer-Set Programs Based on Model-Driven Engineering Technology</t>
  </si>
  <si>
    <t>Logic Programming and Nonmonotonic Reasoning</t>
  </si>
  <si>
    <t>978-3-642-20894-2 978-3-642-20895-9</t>
  </si>
  <si>
    <t>http://link.springer.com/10.1007/978-3-642-20895-9_45</t>
  </si>
  <si>
    <t>382-387</t>
  </si>
  <si>
    <t>Series Title: Lecture Notes in Computer Science DOI: 10.1007/978-3-642-20895-9_45</t>
  </si>
  <si>
    <t>Chaudhary, Hafiz Ahmad Awais; Guevara, Ivan; John, Jobish; Singh, Amandeep; Ghosal, Amrita; Pesch, Dirk; Margaria, Tiziana</t>
  </si>
  <si>
    <t>Model-Driven Engineering in Digital Thread Platforms: A Practical Use Case and Future Challenges</t>
  </si>
  <si>
    <t>Leveraging Applications of Formal Methods, Verification and Validation. Practice</t>
  </si>
  <si>
    <t>978-3-031-19761-1 978-3-031-19762-8</t>
  </si>
  <si>
    <t>https://link.springer.com/10.1007/978-3-031-19762-8_14</t>
  </si>
  <si>
    <t>Springer Nature Switzerland</t>
  </si>
  <si>
    <t>Series Title: Lecture Notes in Computer Science DOI: 10.1007/978-3-031-19762-8_14</t>
  </si>
  <si>
    <t>Metamodeling: More Applications</t>
  </si>
  <si>
    <t>http://link.springer.com/10.1007/978-1-4899-0676-2_13</t>
  </si>
  <si>
    <t>275-296</t>
  </si>
  <si>
    <t>DOI: 10.1007/978-1-4899-0676-2_13</t>
  </si>
  <si>
    <t>Fionda, Barbara</t>
  </si>
  <si>
    <t>Applicazione e sperimentazione del Protocollo APCM in un campione di bambini con Disturbo Specifico del Linguaggio: correlazione tra DSL e disprassia</t>
  </si>
  <si>
    <t>Protocollo per la valutazione delle Abilità Prassiche e della Coordinazione Motoria APCM</t>
  </si>
  <si>
    <t>978-88-470-0340-8</t>
  </si>
  <si>
    <t>http://link.springer.com/10.1007/88-470-0399-7_6</t>
  </si>
  <si>
    <t>101-108</t>
  </si>
  <si>
    <t>Series Title: Metodologie Riabilitative in Logopedia DOI: 10.1007/88-470-0399-7_6</t>
  </si>
  <si>
    <t>López, José Antonio Hernández; Cánovas Izquierdo, Javier Luis; Cuadrado, Jesús Sánchez</t>
  </si>
  <si>
    <t>ModelSet: a dataset for machine learning in model-driven engineering</t>
  </si>
  <si>
    <t>10.1007/s10270-021-00929-3</t>
  </si>
  <si>
    <t>https://link.springer.com/10.1007/s10270-021-00929-3</t>
  </si>
  <si>
    <t>967-986</t>
  </si>
  <si>
    <t>Gauffre, Guillaume; Dubois, Emmanuel</t>
  </si>
  <si>
    <t>Taking Advantage of Model-Driven Engineering Foundations for Mixed Interaction Design</t>
  </si>
  <si>
    <t>Model-Driven Development of Advanced User Interfaces</t>
  </si>
  <si>
    <t>978-3-642-14561-2 978-3-642-14562-9</t>
  </si>
  <si>
    <t>http://link.springer.com/10.1007/978-3-642-14562-9_11</t>
  </si>
  <si>
    <t>219-240</t>
  </si>
  <si>
    <t>Series Title: Studies in Computational Intelligence DOI: 10.1007/978-3-642-14562-9_11</t>
  </si>
  <si>
    <t>Prud’homme, Charles; Lorca, Xavier; Douence, Rémi; Jussien, Narendra</t>
  </si>
  <si>
    <t>Propagation engine prototyping with a domain specific language</t>
  </si>
  <si>
    <t>Constraints</t>
  </si>
  <si>
    <t>1383-7133, 1572-9354</t>
  </si>
  <si>
    <t>10.1007/s10601-013-9151-5</t>
  </si>
  <si>
    <t>http://link.springer.com/10.1007/s10601-013-9151-5</t>
  </si>
  <si>
    <t>2014-01</t>
  </si>
  <si>
    <t>57-76</t>
  </si>
  <si>
    <t>Klock, Felix S.</t>
  </si>
  <si>
    <t>A Declarative DSL for Customizing ASCII Art</t>
  </si>
  <si>
    <t>http://link.springer.com/10.1007/978-3-319-51676-9_13</t>
  </si>
  <si>
    <t>189-197</t>
  </si>
  <si>
    <t>Series Title: Lecture Notes in Computer Science DOI: 10.1007/978-3-319-51676-9_13</t>
  </si>
  <si>
    <t>Koffi, Kanga; Michel, Babri; Marcelin, Brou Konan; Tra, Goore Bi</t>
  </si>
  <si>
    <t>Xj-ASD: Towards a j-ASD DSL eXtension for Application Deployment in Cloud-Based Environment</t>
  </si>
  <si>
    <t>e-Infrastructure and e-Services for Developing Countries</t>
  </si>
  <si>
    <t>978-3-319-66741-6 978-3-319-66742-3</t>
  </si>
  <si>
    <t>http://link.springer.com/10.1007/978-3-319-66742-3_12</t>
  </si>
  <si>
    <t>122-132</t>
  </si>
  <si>
    <t>Series Title: Lecture Notes of the Institute for Computer Sciences, Social Informatics and Telecommunications Engineering DOI: 10.1007/978-3-319-66742-3_12</t>
  </si>
  <si>
    <t>Gorissen, Dirk; Crombecq, Karel; Hendrickx, Wouter; Dhaene, Tom</t>
  </si>
  <si>
    <t>Adaptive Distributed Metamodeling</t>
  </si>
  <si>
    <t>High Performance Computing for Computational Science - VECPAR 2006</t>
  </si>
  <si>
    <t>978-3-540-71350-0 978-3-540-71351-7</t>
  </si>
  <si>
    <t>http://link.springer.com/10.1007/978-3-540-71351-7_45</t>
  </si>
  <si>
    <t>579-588</t>
  </si>
  <si>
    <t>Series Title: Lecture Notes in Computer Science DOI: 10.1007/978-3-540-71351-7_45</t>
  </si>
  <si>
    <t>Gorissen, Dirk</t>
  </si>
  <si>
    <t>Grid-Enabled Adaptive Metamodeling and Active Learning for Computer Based Design</t>
  </si>
  <si>
    <t>Advances in Artificial Intelligence</t>
  </si>
  <si>
    <t>978-3-642-01817-6 978-3-642-01818-3</t>
  </si>
  <si>
    <t>http://link.springer.com/10.1007/978-3-642-01818-3_39</t>
  </si>
  <si>
    <t>266-269</t>
  </si>
  <si>
    <t>DOI: 10.1007/978-3-642-01818-3_39 Series Title: Lecture Notes in Computer Science</t>
  </si>
  <si>
    <t>Li, G.; Azarm, S.; Farhang-Mehr, A.; Diaz, A. R.</t>
  </si>
  <si>
    <t>Approximation of multiresponse deterministic engineering simulations: a dependent metamodeling approach</t>
  </si>
  <si>
    <t>10.1007/s00158-005-0574-5</t>
  </si>
  <si>
    <t>http://link.springer.com/10.1007/s00158-005-0574-5</t>
  </si>
  <si>
    <t>2006-04</t>
  </si>
  <si>
    <t>260-269</t>
  </si>
  <si>
    <t>de la Vega, Alfonso; García-Saiz, Diego; Zorrilla, Marta; Sánchez, Pablo</t>
  </si>
  <si>
    <t>Towards a DSL for Educational Data Mining</t>
  </si>
  <si>
    <t>Languages, Applications and Technologies</t>
  </si>
  <si>
    <t>978-3-319-27652-6 978-3-319-27653-3</t>
  </si>
  <si>
    <t>http://link.springer.com/10.1007/978-3-319-27653-3_8</t>
  </si>
  <si>
    <t>79-90</t>
  </si>
  <si>
    <t>Series Title: Communications in Computer and Information Science DOI: 10.1007/978-3-319-27653-3_8</t>
  </si>
  <si>
    <t>Andova, Suzana; van den Brand, Mark G. J.; Engelen, Luc J. P.; Verhoeff, Tom</t>
  </si>
  <si>
    <t>MDE Basics with a DSL Focus</t>
  </si>
  <si>
    <t>Formal Methods for Model-Driven Engineering</t>
  </si>
  <si>
    <t>978-3-642-30981-6 978-3-642-30982-3</t>
  </si>
  <si>
    <t>http://link.springer.com/10.1007/978-3-642-30982-3_2</t>
  </si>
  <si>
    <t>21-57</t>
  </si>
  <si>
    <t>Series Title: Lecture Notes in Computer Science DOI: 10.1007/978-3-642-30982-3_2</t>
  </si>
  <si>
    <t>Koopman, Pieter; Plasmeijer, Rinus</t>
  </si>
  <si>
    <t>Type-Safe Functions and Tasks in a Shallow Embedded DSL for Microprocessors</t>
  </si>
  <si>
    <t>Central European Functional Programming School</t>
  </si>
  <si>
    <t>978-3-030-28345-2 978-3-030-28346-9</t>
  </si>
  <si>
    <t>http://link.springer.com/10.1007/978-3-030-28346-9_8</t>
  </si>
  <si>
    <t>283-340</t>
  </si>
  <si>
    <t>Series Title: Lecture Notes in Computer Science DOI: 10.1007/978-3-030-28346-9_8</t>
  </si>
  <si>
    <t>Rabbi, Fazle; Lamo, Yngve; Kristensen, Lars Michael</t>
  </si>
  <si>
    <t>An MDE Approach for Modelling and Reasoning About Multi-agent Systems</t>
  </si>
  <si>
    <t>Multi-Agent Systems and Agreement Technologies</t>
  </si>
  <si>
    <t>978-3-319-59293-0 978-3-319-59294-7</t>
  </si>
  <si>
    <t>http://link.springer.com/10.1007/978-3-319-59294-7_5</t>
  </si>
  <si>
    <t>49-57</t>
  </si>
  <si>
    <t>Series Title: Lecture Notes in Computer Science DOI: 10.1007/978-3-319-59294-7_5</t>
  </si>
  <si>
    <t>Chen, Pinde; Li, Kedong</t>
  </si>
  <si>
    <t>Ontology of Domain Modeling in Web Based Adaptive Learning System</t>
  </si>
  <si>
    <t>Knowledge-Based Intelligent Information and Engineering Systems</t>
  </si>
  <si>
    <t>978-3-540-40803-1 978-3-540-45224-9</t>
  </si>
  <si>
    <t>http://link.springer.com/10.1007/978-3-540-45224-9_118</t>
  </si>
  <si>
    <t>886-892</t>
  </si>
  <si>
    <t>Series Title: Lecture Notes in Computer Science DOI: 10.1007/978-3-540-45224-9_118</t>
  </si>
  <si>
    <t>Díaz, Oscar; Puente, Gorka</t>
  </si>
  <si>
    <t>A DSL for Corporate Wiki Initialization</t>
  </si>
  <si>
    <t>http://link.springer.com/10.1007/978-3-642-21640-4_19</t>
  </si>
  <si>
    <t>237-251</t>
  </si>
  <si>
    <t>Series Title: Notes on Numerical Fluid Mechanics and Multidisciplinary Design DOI: 10.1007/978-3-642-21640-4_19</t>
  </si>
  <si>
    <t>Fernández, Gloria García; Sanjuan-Martinez, Óscar; Crespo, Rubén González; García-Bustelo, Cristina Pelayo; Tolosa, José Barranquero</t>
  </si>
  <si>
    <t>MDE for Device Driver Development</t>
  </si>
  <si>
    <t>http://link.springer.com/10.1007/978-3-642-02481-8_46</t>
  </si>
  <si>
    <t>323-329</t>
  </si>
  <si>
    <t>Series Title: Lecture Notes in Computer Science DOI: 10.1007/978-3-642-02481-8_46</t>
  </si>
  <si>
    <t>de S. Braga, Diego; Alves, Felipe Omena M.; de L. Neto, Fernando Buarque; de S. Menezes, Luis Carlos</t>
  </si>
  <si>
    <t>An Aspect-Oriented Domain-Specific Language for Modeling Multi-Agent Systems in Social Simulations</t>
  </si>
  <si>
    <t>Intelligent Data Engineering and Automated Learning - IDEAL 2012</t>
  </si>
  <si>
    <t>978-3-642-32638-7 978-3-642-32639-4</t>
  </si>
  <si>
    <t>http://link.springer.com/10.1007/978-3-642-32639-4_70</t>
  </si>
  <si>
    <t>578-585</t>
  </si>
  <si>
    <t>Series Title: Lecture Notes in Computer Science DOI: 10.1007/978-3-642-32639-4_70</t>
  </si>
  <si>
    <t>Yu, Huafeng; Gamatié, Abdoulaye; Rutten, Éric; Dekeyser, Jean-Luc</t>
  </si>
  <si>
    <t>Safe design of high-performance embedded systems in an MDE framework</t>
  </si>
  <si>
    <t>10.1007/s11334-008-0059-y</t>
  </si>
  <si>
    <t>http://link.springer.com/10.1007/s11334-008-0059-y</t>
  </si>
  <si>
    <t>215-222</t>
  </si>
  <si>
    <t>Pieters, Ruben P.; Schrijvers, Tom</t>
  </si>
  <si>
    <t>PaSe: An Extensible and Inspectable DSL for Micro-Animations</t>
  </si>
  <si>
    <t>Trends in Functional Programming</t>
  </si>
  <si>
    <t>978-3-030-57760-5 978-3-030-57761-2</t>
  </si>
  <si>
    <t>http://link.springer.com/10.1007/978-3-030-57761-2_1</t>
  </si>
  <si>
    <t>3-24</t>
  </si>
  <si>
    <t>Series Title: Lecture Notes in Computer Science DOI: 10.1007/978-3-030-57761-2_1</t>
  </si>
  <si>
    <t>Tikhonova, Ulyana; Manders, Maarten; Boudewijns, Rimco</t>
  </si>
  <si>
    <t>Visualization of Formal Specifications for Understanding and Debugging an Industrial DSL</t>
  </si>
  <si>
    <t>http://link.springer.com/10.1007/978-3-319-50230-4_13</t>
  </si>
  <si>
    <t>179-195</t>
  </si>
  <si>
    <t>Series Title: Lecture Notes in Computer Science DOI: 10.1007/978-3-319-50230-4_13</t>
  </si>
  <si>
    <t>Djeddai, Selma; Mezghiche, Mohamed; Strecker, Martin</t>
  </si>
  <si>
    <t>Combining Verification and MDE Illustrated by a Formal Java Development</t>
  </si>
  <si>
    <t>ICT in Education, Research, and Industrial Applications</t>
  </si>
  <si>
    <t>978-3-642-35736-7 978-3-642-35737-4</t>
  </si>
  <si>
    <t>http://link.springer.com/10.1007/978-3-642-35737-4_8</t>
  </si>
  <si>
    <t>131-148</t>
  </si>
  <si>
    <t>Series Title: Communications in Computer and Information Science DOI: 10.1007/978-3-642-35737-4_8</t>
  </si>
  <si>
    <t>Dhouib, Saadia; Kchir, Selma; Stinckwich, Serge; Ziadi, Tewfik; Ziane, Mikal</t>
  </si>
  <si>
    <t>RobotML, a Domain-Specific Language to Design, Simulate and Deploy Robotic Applications</t>
  </si>
  <si>
    <t>978-3-642-34326-1 978-3-642-34327-8</t>
  </si>
  <si>
    <t>http://link.springer.com/10.1007/978-3-642-34327-8_16</t>
  </si>
  <si>
    <t>149-160</t>
  </si>
  <si>
    <t>Series Title: Lecture Notes in Computer Science DOI: 10.1007/978-3-642-34327-8_16</t>
  </si>
  <si>
    <t>Hołda, Przemysław; Rachwał, Kajetan; Sawicki, Jan; Ganzha, Maria; Paprzycki, Marcin</t>
  </si>
  <si>
    <t>Agents Assembly: Domain Specific Language for Agent Simulations</t>
  </si>
  <si>
    <t>Advances in Practical Applications of Agents, Multi-Agent Systems, and Complex Systems Simulation. The PAAMS Collection</t>
  </si>
  <si>
    <t>978-3-031-18191-7 978-3-031-18192-4</t>
  </si>
  <si>
    <t>https://link.springer.com/10.1007/978-3-031-18192-4_42</t>
  </si>
  <si>
    <t>487-492</t>
  </si>
  <si>
    <t>Series Title: Lecture Notes in Computer Science DOI: 10.1007/978-3-031-18192-4_42</t>
  </si>
  <si>
    <t>Leist, Susanne; Karagiannis, Dimitris; Johannsen, Florian; Penzel, Hans-Gert</t>
  </si>
  <si>
    <t>From Business Engineering to Digital Engineering: The Role of Metamodeling in Digital Transformation</t>
  </si>
  <si>
    <t>Engineering the Transformation of the Enterprise</t>
  </si>
  <si>
    <t>978-3-030-84654-1 978-3-030-84655-8</t>
  </si>
  <si>
    <t>https://link.springer.com/10.1007/978-3-030-84655-8_4</t>
  </si>
  <si>
    <t>51-71</t>
  </si>
  <si>
    <t>DOI: 10.1007/978-3-030-84655-8_4</t>
  </si>
  <si>
    <t>Ben Said, Mouna; Hadj Kacem, Yessine; Kerboeuf, Mickaël; Abid, Mohamed</t>
  </si>
  <si>
    <t>An MDE-based approach for self-adaptive RTES model generation</t>
  </si>
  <si>
    <t>10.1007/s10586-019-02968-4</t>
  </si>
  <si>
    <t>http://link.springer.com/10.1007/s10586-019-02968-4</t>
  </si>
  <si>
    <t>2020-06</t>
  </si>
  <si>
    <t>925-951</t>
  </si>
  <si>
    <t>Olney, Andrew M.</t>
  </si>
  <si>
    <t>Extraction of Concept Maps from Textbooks for Domain Modeling</t>
  </si>
  <si>
    <t>978-3-642-13436-4 978-3-642-13437-1</t>
  </si>
  <si>
    <t>http://link.springer.com/10.1007/978-3-642-13437-1_80</t>
  </si>
  <si>
    <t>390-392</t>
  </si>
  <si>
    <t>Series Title: Lecture Notes in Computer Science DOI: 10.1007/978-3-642-13437-1_80</t>
  </si>
  <si>
    <t>Buch, Jacob Pørksen; Laursen, Johan Sund; Sørensen, Lars Carøe; Ellekilde, Lars-Peter; Kraft, Dirk; Schultz, Ulrik Pagh; Petersen, Henrik Gordon</t>
  </si>
  <si>
    <t>Applying Simulation and a Domain-Specific Language for an Adaptive Action Library</t>
  </si>
  <si>
    <t>978-3-319-11899-4 978-3-319-11900-7</t>
  </si>
  <si>
    <t>http://link.springer.com/10.1007/978-3-319-11900-7_8</t>
  </si>
  <si>
    <t>86-97</t>
  </si>
  <si>
    <t>Series Title: Lecture Notes in Computer Science DOI: 10.1007/978-3-319-11900-7_8</t>
  </si>
  <si>
    <t>Vistbakka, Inna; Barash, Mikhail; Troubitsyna, Elena</t>
  </si>
  <si>
    <t>Towards Creating a DSL Facilitating Modelling of Dynamic Access Control in Event-B</t>
  </si>
  <si>
    <t>Abstract State Machines, Alloy, B, TLA, VDM, and Z</t>
  </si>
  <si>
    <t>978-3-319-91270-7 978-3-319-91271-4</t>
  </si>
  <si>
    <t>http://link.springer.com/10.1007/978-3-319-91271-4_28</t>
  </si>
  <si>
    <t>386-391</t>
  </si>
  <si>
    <t>Series Title: Lecture Notes in Computer Science DOI: 10.1007/978-3-319-91271-4_28</t>
  </si>
  <si>
    <t>Larin, V. O.; Bantysh, O. V.; Galkin, O. V.; Provotar, O. I.</t>
  </si>
  <si>
    <t>The Domain-Specific Language Strumok for Describing Actor-Oriented Systems with Shared Memory</t>
  </si>
  <si>
    <t>Cybernetics and Systems Analysis</t>
  </si>
  <si>
    <t>1060-0396, 1573-8337</t>
  </si>
  <si>
    <t>10.1007/s10559-018-0085-1</t>
  </si>
  <si>
    <t>http://link.springer.com/10.1007/s10559-018-0085-1</t>
  </si>
  <si>
    <t>833-841</t>
  </si>
  <si>
    <t>Steingartner, William; Novitzká, Valerie</t>
  </si>
  <si>
    <t>Natural Semantics for Domain-Specific Language</t>
  </si>
  <si>
    <t>New Trends in Database and Information Systems</t>
  </si>
  <si>
    <t>978-3-030-85081-4 978-3-030-85082-1</t>
  </si>
  <si>
    <t>https://link.springer.com/10.1007/978-3-030-85082-1_17</t>
  </si>
  <si>
    <t>181-192</t>
  </si>
  <si>
    <t>Series Title: Communications in Computer and Information Science DOI: 10.1007/978-3-030-85082-1_17</t>
  </si>
  <si>
    <t>Simon, Balazs; Goldschmidt, Balazs; Kondorosi, Karoly</t>
  </si>
  <si>
    <t>A Human Readable Platform Independent Domain Specific Language for BPEL</t>
  </si>
  <si>
    <t>Networked Digital Technologies</t>
  </si>
  <si>
    <t>978-3-642-14291-8 978-3-642-14292-5</t>
  </si>
  <si>
    <t>http://link.springer.com/10.1007/978-3-642-14292-5_55</t>
  </si>
  <si>
    <t>537-544</t>
  </si>
  <si>
    <t>Series Title: Communications in Computer and Information Science DOI: 10.1007/978-3-642-14292-5_55</t>
  </si>
  <si>
    <t>Koubarakis, Manolis; Borgida, Alexander; Constantopoulos, Panos; Doerr, Martin; Jarke, Matthias; Jeusfeld, Manfred A.; Mylopoulos, John; Plexousakis, Dimitris</t>
  </si>
  <si>
    <t>A retrospective on Telos as a metamodeling language for requirements engineering</t>
  </si>
  <si>
    <t>10.1007/s00766-020-00329-x</t>
  </si>
  <si>
    <t>http://link.springer.com/10.1007/s00766-020-00329-x</t>
  </si>
  <si>
    <t>2021-03</t>
  </si>
  <si>
    <t>1-23</t>
  </si>
  <si>
    <t>do Nascimento, Francisco Assis Moreira; Oliveira, Marcio F. S.; Wagner, Flávio Rech</t>
  </si>
  <si>
    <t>A model-driven engineering framework for embedded systems design</t>
  </si>
  <si>
    <t>10.1007/s11334-011-0175-y</t>
  </si>
  <si>
    <t>http://link.springer.com/10.1007/s11334-011-0175-y</t>
  </si>
  <si>
    <t>2012-03</t>
  </si>
  <si>
    <t>19-33</t>
  </si>
  <si>
    <t>Di Giacomo, Francesco; Abbadi, Mohamed; Cortesi, Agostino; Spronck, Pieter; Maggiore, Giuseppe</t>
  </si>
  <si>
    <t>Building Game Scripting DSL’s with the Metacasanova Metacompiler</t>
  </si>
  <si>
    <t>Intelligent Technologies for Interactive Entertainment</t>
  </si>
  <si>
    <t>978-3-319-49615-3 978-3-319-49616-0</t>
  </si>
  <si>
    <t>http://link.springer.com/10.1007/978-3-319-49616-0_22</t>
  </si>
  <si>
    <t>231-242</t>
  </si>
  <si>
    <t>Series Title: Lecture Notes of the Institute for Computer Sciences, Social Informatics and Telecommunications Engineering DOI: 10.1007/978-3-319-49616-0_22</t>
  </si>
  <si>
    <t>Kraimeche, Belka</t>
  </si>
  <si>
    <t>[No title found]</t>
  </si>
  <si>
    <t>10184864</t>
  </si>
  <si>
    <t>10.1023/A:1009050711890</t>
  </si>
  <si>
    <t>http://link.springer.com/10.1023/A:1009050711890</t>
  </si>
  <si>
    <t>55-71</t>
  </si>
  <si>
    <t>1/2</t>
  </si>
  <si>
    <t>de Araujo, Luciane Calixto; Casanova, Marco A.; Leme, Luiz André P. P.; Furtado, Antônio L.</t>
  </si>
  <si>
    <t>DSL Based Approach for Building Model-Driven Questionnaires</t>
  </si>
  <si>
    <t>978-3-030-75417-4 978-3-030-75418-1</t>
  </si>
  <si>
    <t>https://link.springer.com/10.1007/978-3-030-75418-1_21</t>
  </si>
  <si>
    <t>458-480</t>
  </si>
  <si>
    <t>Series Title: Lecture Notes in Business Information Processing DOI: 10.1007/978-3-030-75418-1_21</t>
  </si>
  <si>
    <t>Cârlan, Carmen; Ratiu, Daniel</t>
  </si>
  <si>
    <t>FASTEN.Safe: A Model-Driven Engineering Tool to Experiment with Checkable Assurance Cases</t>
  </si>
  <si>
    <t>Computer Safety, Reliability, and Security</t>
  </si>
  <si>
    <t>978-3-030-54548-2 978-3-030-54549-9</t>
  </si>
  <si>
    <t>https://link.springer.com/10.1007/978-3-030-54549-9_20</t>
  </si>
  <si>
    <t>298-306</t>
  </si>
  <si>
    <t>Series Title: Lecture Notes in Computer Science DOI: 10.1007/978-3-030-54549-9_20</t>
  </si>
  <si>
    <t>Campos, Cristina; Grangel, Reyes</t>
  </si>
  <si>
    <t>How to Apply Model Driven Engineering to Develop Corporate Social Responsibility Computer Systems</t>
  </si>
  <si>
    <t>Modeling and Simulation in Engineering, Economics, and Management</t>
  </si>
  <si>
    <t>978-3-642-38278-9 978-3-642-38279-6</t>
  </si>
  <si>
    <t>http://link.springer.com/10.1007/978-3-642-38279-6_5</t>
  </si>
  <si>
    <t>42-50</t>
  </si>
  <si>
    <t>Series Title: Lecture Notes in Business Information Processing DOI: 10.1007/978-3-642-38279-6_5</t>
  </si>
  <si>
    <t>Gaševic, Dragan; Djuric, Dragan; Devedžic, Vladan</t>
  </si>
  <si>
    <t>Model Driven Engineering</t>
  </si>
  <si>
    <t>http://link.springer.com/10.1007/978-3-642-00282-3_4</t>
  </si>
  <si>
    <t>125-155</t>
  </si>
  <si>
    <t>DOI: 10.1007/978-3-642-00282-3_4</t>
  </si>
  <si>
    <t>von Zabiensky, Florian; Loosen, Christian; Kreutzer, Michael; Bienhaus, Diethelm</t>
  </si>
  <si>
    <t>A Domain-Specific Language for Model-Driven Development of Networked Electronic Travel Aid Systems</t>
  </si>
  <si>
    <t>HCI International 2021 - Late Breaking Posters</t>
  </si>
  <si>
    <t>978-3-030-90178-3 978-3-030-90179-0</t>
  </si>
  <si>
    <t>https://link.springer.com/10.1007/978-3-030-90179-0_8</t>
  </si>
  <si>
    <t>Series Title: Communications in Computer and Information Science DOI: 10.1007/978-3-030-90179-0_8</t>
  </si>
  <si>
    <t>Egea, Marina; Rusu, Vlad</t>
  </si>
  <si>
    <t>Formal executable semantics for conformance in the MDE framework</t>
  </si>
  <si>
    <t>10.1007/s11334-009-0108-1</t>
  </si>
  <si>
    <t>http://link.springer.com/10.1007/s11334-009-0108-1</t>
  </si>
  <si>
    <t>2010-03</t>
  </si>
  <si>
    <t>73-81</t>
  </si>
  <si>
    <t>1-2</t>
  </si>
  <si>
    <t>Simon, Balazs; Goldschmidt, Balazs</t>
  </si>
  <si>
    <t>A Human Readable Platform Independent Domain Specific Language for WSDL</t>
  </si>
  <si>
    <t>http://link.springer.com/10.1007/978-3-642-14292-5_54</t>
  </si>
  <si>
    <t>529-536</t>
  </si>
  <si>
    <t>Series Title: Communications in Computer and Information Science DOI: 10.1007/978-3-642-14292-5_54</t>
  </si>
  <si>
    <t>Westphal, Oliver; Voigtländer, Janis</t>
  </si>
  <si>
    <t>Implementing, and Keeping in Check, a DSL Used in E-Learning</t>
  </si>
  <si>
    <t>Functional and Logic Programming</t>
  </si>
  <si>
    <t>978-3-030-59024-6 978-3-030-59025-3</t>
  </si>
  <si>
    <t>https://link.springer.com/10.1007/978-3-030-59025-3_11</t>
  </si>
  <si>
    <t>179-197</t>
  </si>
  <si>
    <t>Series Title: Lecture Notes in Computer Science DOI: 10.1007/978-3-030-59025-3_11</t>
  </si>
  <si>
    <t>Steingartner, William; Baraník, Róbert; Novitzká, Valerie</t>
  </si>
  <si>
    <t>Abstract Machine for Operational Semantics of Domain-Specific Language</t>
  </si>
  <si>
    <t>978-3-031-15742-4 978-3-031-15743-1</t>
  </si>
  <si>
    <t>https://link.springer.com/10.1007/978-3-031-15743-1_38</t>
  </si>
  <si>
    <t>413-424</t>
  </si>
  <si>
    <t>Series Title: Communications in Computer and Information Science DOI: 10.1007/978-3-031-15743-1_38</t>
  </si>
  <si>
    <t>Ciancone, Andrea; Filieri, Antonio; Mirandola, Raffaela</t>
  </si>
  <si>
    <t>Testing operational transformations in model-driven engineering</t>
  </si>
  <si>
    <t>10.1007/s11334-013-0208-9</t>
  </si>
  <si>
    <t>http://link.springer.com/10.1007/s11334-013-0208-9</t>
  </si>
  <si>
    <t>19-32</t>
  </si>
  <si>
    <t>Martínez, Yulkeidi; Cachero, Cristina; Matera, Maristella; Abrahao, Silvia; Luján, Sergio</t>
  </si>
  <si>
    <t>Impact of MDE Approaches on the Maintainability of Web Applications: An Experimental Evaluation</t>
  </si>
  <si>
    <t>Conceptual Modeling – ER 2011</t>
  </si>
  <si>
    <t>978-3-642-24605-0 978-3-642-24606-7</t>
  </si>
  <si>
    <t>http://link.springer.com/10.1007/978-3-642-24606-7_18</t>
  </si>
  <si>
    <t>233-246</t>
  </si>
  <si>
    <t>Series Title: Lecture Notes in Computer Science DOI: 10.1007/978-3-642-24606-7_18</t>
  </si>
  <si>
    <t>Visic, Niksa; Karagiannis, Dimitris</t>
  </si>
  <si>
    <t>Developing Conceptual Modeling Tools Using a DSL</t>
  </si>
  <si>
    <t>Knowledge Science, Engineering and Management</t>
  </si>
  <si>
    <t>978-3-319-12095-9 978-3-319-12096-6</t>
  </si>
  <si>
    <t>http://link.springer.com/10.1007/978-3-319-12096-6_15</t>
  </si>
  <si>
    <t>162-173</t>
  </si>
  <si>
    <t>Series Title: Lecture Notes in Computer Science DOI: 10.1007/978-3-319-12096-6_15</t>
  </si>
  <si>
    <t>Weichhart, Georg; Stary, Christian</t>
  </si>
  <si>
    <t>A Domain Specific Language for Organisational Interoperability</t>
  </si>
  <si>
    <t>On the Move to Meaningful Internet Systems: OTM 2015 Workshops</t>
  </si>
  <si>
    <t>978-3-319-26137-9 978-3-319-26138-6</t>
  </si>
  <si>
    <t>http://link.springer.com/10.1007/978-3-319-26138-6_15</t>
  </si>
  <si>
    <t>117-126</t>
  </si>
  <si>
    <t>Series Title: Lecture Notes in Computer Science DOI: 10.1007/978-3-319-26138-6_15</t>
  </si>
  <si>
    <t>Hammoudeh García, Nadia; Deshpande, Harshavardhan; Santos, André; Kahl, Björn; Bordignon, Mirko</t>
  </si>
  <si>
    <t>Bootstrapping MDE development from ROS manual code: Part 2—Model generation and leveraging models at runtime</t>
  </si>
  <si>
    <t>10.1007/s10270-021-00873-2</t>
  </si>
  <si>
    <t>https://link.springer.com/10.1007/s10270-021-00873-2</t>
  </si>
  <si>
    <t>2047-2070</t>
  </si>
  <si>
    <t>Gherbi, Tahar; Borne, Isabelle; Meslati, Djamel</t>
  </si>
  <si>
    <t>An MDE Approach to Develop Mobile-Agents Applications</t>
  </si>
  <si>
    <t>Evaluation of Novel Approaches to Software Engineering</t>
  </si>
  <si>
    <t>978-3-642-54091-2 978-3-642-54092-9</t>
  </si>
  <si>
    <t>http://link.springer.com/10.1007/978-3-642-54092-9_5</t>
  </si>
  <si>
    <t>64-80</t>
  </si>
  <si>
    <t>Series Title: Communications in Computer and Information Science DOI: 10.1007/978-3-642-54092-9_5</t>
  </si>
  <si>
    <t>Haav, Hele-Mai; Ojamaa, Andres; Grigorenko, Pavel; Kotkas, Vahur</t>
  </si>
  <si>
    <t>Ontology-Based Integration of Software Artefacts for DSL Development</t>
  </si>
  <si>
    <t>http://link.springer.com/10.1007/978-3-319-26138-6_34</t>
  </si>
  <si>
    <t>309-318</t>
  </si>
  <si>
    <t>Series Title: Lecture Notes in Computer Science DOI: 10.1007/978-3-319-26138-6_34</t>
  </si>
  <si>
    <t>Andolfato, Luigi; Karban, Robert; Schilling, Marcus; Sommer, Heiko; Zamparelli, Michele; Chiozzi, Gianluca</t>
  </si>
  <si>
    <t>Experiences in Applying Model Driven Engineering to the Telescope and Instrument Control System Domain</t>
  </si>
  <si>
    <t>http://link.springer.com/10.1007/978-3-319-11653-2_25</t>
  </si>
  <si>
    <t>403-419</t>
  </si>
  <si>
    <t>Series Title: Lecture Notes in Computer Science DOI: 10.1007/978-3-319-11653-2_25</t>
  </si>
  <si>
    <t>Kammer, Dietrich; Henkens, Dana; Groh, Rainer</t>
  </si>
  <si>
    <t>GeForMTjs: A JavaScript Library Based on a Domain Specific Language for Multi-touch Gestures</t>
  </si>
  <si>
    <t>978-3-642-31752-1 978-3-642-31753-8</t>
  </si>
  <si>
    <t>http://link.springer.com/10.1007/978-3-642-31753-8_40</t>
  </si>
  <si>
    <t>444-447</t>
  </si>
  <si>
    <t>Series Title: Lecture Notes in Computer Science DOI: 10.1007/978-3-642-31753-8_40</t>
  </si>
  <si>
    <t>Hoffmann, Benjamin; Chalmers, Kevin; Urquhart, Neil; Farrenkopf, Thomas; Guckert, Michael</t>
  </si>
  <si>
    <t>ATHOS - A Domain-Specific Language for Multi-agent Simulations</t>
  </si>
  <si>
    <t>Advances in Practical Applications of Agents, Multi-Agent Systems, and Complexity: The PAAMS Collection</t>
  </si>
  <si>
    <t>978-3-319-94579-8 978-3-319-94580-4</t>
  </si>
  <si>
    <t>http://link.springer.com/10.1007/978-3-319-94580-4_30</t>
  </si>
  <si>
    <t>322-325</t>
  </si>
  <si>
    <t>Series Title: Lecture Notes in Computer Science DOI: 10.1007/978-3-319-94580-4_30</t>
  </si>
  <si>
    <t>Boiarskyi, Oleksii; Popereshnyak, Svitlana</t>
  </si>
  <si>
    <t>Automated System and Domain-Specific Language for Medical Data Collection and Processing</t>
  </si>
  <si>
    <t>Lecture Notes in Computational Intelligence and Decision Making</t>
  </si>
  <si>
    <t>978-3-030-82013-8 978-3-030-82014-5</t>
  </si>
  <si>
    <t>https://link.springer.com/10.1007/978-3-030-82014-5_25</t>
  </si>
  <si>
    <t>377-396</t>
  </si>
  <si>
    <t>Series Title: Lecture Notes on Data Engineering and Communications Technologies DOI: 10.1007/978-3-030-82014-5_25</t>
  </si>
  <si>
    <t>Henglein, Fritz</t>
  </si>
  <si>
    <t>Dynamic Symbolic Computation for Domain-Specific Language Implementation</t>
  </si>
  <si>
    <t>Logic-Based Program Synthesis and Transformation</t>
  </si>
  <si>
    <t>978-3-642-32210-5 978-3-642-32211-2</t>
  </si>
  <si>
    <t>http://link.springer.com/10.1007/978-3-642-32211-2_2</t>
  </si>
  <si>
    <t>4-24</t>
  </si>
  <si>
    <t>Series Title: Lecture Notes in Computer Science DOI: 10.1007/978-3-642-32211-2_2</t>
  </si>
  <si>
    <t>A Shallow Embedded Type Safe Extendable DSL for the Arduino</t>
  </si>
  <si>
    <t>978-3-319-39109-0 978-3-319-39110-6</t>
  </si>
  <si>
    <t>http://link.springer.com/10.1007/978-3-319-39110-6_6</t>
  </si>
  <si>
    <t>104-123</t>
  </si>
  <si>
    <t>Series Title: Lecture Notes in Computer Science DOI: 10.1007/978-3-319-39110-6_6</t>
  </si>
  <si>
    <t>Bruneliere, Hugo; Eramo, Romina; Gómez, Abel; Besnard, Valentin; Bruel, Jean Michel; Gogolla, Martin; Kästner, Andreas; Rutle, Adrian</t>
  </si>
  <si>
    <t>Model-Driven Engineering for Design-Runtime Interaction in Complex Systems: Scientific Challenges and Roadmap: Report on the MDE@DeRun 2018 Workshop</t>
  </si>
  <si>
    <t>978-3-030-04770-2 978-3-030-04771-9</t>
  </si>
  <si>
    <t>http://link.springer.com/10.1007/978-3-030-04771-9_40</t>
  </si>
  <si>
    <t>536-543</t>
  </si>
  <si>
    <t>Series Title: Lecture Notes in Computer Science DOI: 10.1007/978-3-030-04771-9_40</t>
  </si>
  <si>
    <t>Evora, Jose; Hernandez, Jose Juan; Hernandez, Mario</t>
  </si>
  <si>
    <t>Advantages of Model Driven Engineering for studying complex systems</t>
  </si>
  <si>
    <t>Natural Computing</t>
  </si>
  <si>
    <t>1567-7818, 1572-9796</t>
  </si>
  <si>
    <t>10.1007/s11047-014-9469-y</t>
  </si>
  <si>
    <t>http://link.springer.com/10.1007/s11047-014-9469-y</t>
  </si>
  <si>
    <t>2015-03</t>
  </si>
  <si>
    <t>129-144</t>
  </si>
  <si>
    <t>Parri, Jacopo; Patara, Fulvio; Sampietro, Samuele; Vicario, Enrico</t>
  </si>
  <si>
    <t>A framework for Model-Driven Engineering of resilient software-controlled systems</t>
  </si>
  <si>
    <t>Computing</t>
  </si>
  <si>
    <t>0010-485X, 1436-5057</t>
  </si>
  <si>
    <t>10.1007/s00607-020-00841-6</t>
  </si>
  <si>
    <t>https://link.springer.com/10.1007/s00607-020-00841-6</t>
  </si>
  <si>
    <t>2021-04</t>
  </si>
  <si>
    <t>589-612</t>
  </si>
  <si>
    <t>Valencia-Ramos, Rafael; Zhinin-Vera, Luis; Chang, Oscar; Pineda, Israel</t>
  </si>
  <si>
    <t>E-Move: Domain Specific Language for People with Movement Disorders</t>
  </si>
  <si>
    <t>https://link.springer.com/10.1007/978-3-030-62833-8_36</t>
  </si>
  <si>
    <t>493-500</t>
  </si>
  <si>
    <t>Series Title: Communications in Computer and Information Science DOI: 10.1007/978-3-030-62833-8_36</t>
  </si>
  <si>
    <t>Scully-Allison, Connor</t>
  </si>
  <si>
    <t>Materia: A Data Quality Control Embedded Domain Specific Language in Python</t>
  </si>
  <si>
    <t>Business Information Systems Workshops</t>
  </si>
  <si>
    <t>978-3-030-61145-3 978-3-030-61146-0</t>
  </si>
  <si>
    <t>https://link.springer.com/10.1007/978-3-030-61146-0_23</t>
  </si>
  <si>
    <t>Series Title: Lecture Notes in Business Information Processing DOI: 10.1007/978-3-030-61146-0_23</t>
  </si>
  <si>
    <t>Thompson, Chris; White, Jules; Dougherty, Brian; Schmidt, Douglas C.</t>
  </si>
  <si>
    <t>Optimizing Mobile Application Performance with Model–Driven Engineering</t>
  </si>
  <si>
    <t>Software Technologies for Embedded and Ubiquitous Systems</t>
  </si>
  <si>
    <t>978-3-642-10264-6 978-3-642-10265-3</t>
  </si>
  <si>
    <t>http://link.springer.com/10.1007/978-3-642-10265-3_4</t>
  </si>
  <si>
    <t>36-46</t>
  </si>
  <si>
    <t>Series Title: Lecture Notes in Computer Science DOI: 10.1007/978-3-642-10265-3_4</t>
  </si>
  <si>
    <t>Vuković, Željko; Milanović, Nikola; Vaderna, Renata; Dejanović, Igor; Milosavljević, Gordana</t>
  </si>
  <si>
    <t>SAIL: A Domain-Specific Language for Semantic-Aided Automation of Interface Mapping in Enterprise Integration</t>
  </si>
  <si>
    <t>http://link.springer.com/10.1007/978-3-319-26138-6_13</t>
  </si>
  <si>
    <t>97-106</t>
  </si>
  <si>
    <t>Series Title: Lecture Notes in Computer Science DOI: 10.1007/978-3-319-26138-6_13</t>
  </si>
  <si>
    <t>Bourgeois, Kevin; Robert, Sophie; Limet, Sébastien; Essayan, Victor</t>
  </si>
  <si>
    <t>GeoSkelSL: A Python High-Level DSL for Parallel Computing in Geosciences</t>
  </si>
  <si>
    <t>Computational Science – ICCS 2018</t>
  </si>
  <si>
    <t>978-3-319-93712-0 978-3-319-93713-7</t>
  </si>
  <si>
    <t>https://link.springer.com/10.1007/978-3-319-93713-7_83</t>
  </si>
  <si>
    <t>839-845</t>
  </si>
  <si>
    <t>Series Title: Lecture Notes in Computer Science DOI: 10.1007/978-3-319-93713-7_83</t>
  </si>
  <si>
    <t>Sobernig, Stefan; Strembeck, Mark; Beck, Andreas</t>
  </si>
  <si>
    <t>Developing a Domain-Specific Language for Scheduling in the European Energy Sector</t>
  </si>
  <si>
    <t>http://link.springer.com/10.1007/978-3-319-02654-1_2</t>
  </si>
  <si>
    <t>19-35</t>
  </si>
  <si>
    <t>Series Title: Lecture Notes in Computer Science DOI: 10.1007/978-3-319-02654-1_2</t>
  </si>
  <si>
    <t>Firmenich, Sérgio; Rossi, Gustavo; Winckler, Marco</t>
  </si>
  <si>
    <t>A Domain Specific Language for Orchestrating User Tasks Whilst Navigation Web Sites</t>
  </si>
  <si>
    <t>978-3-642-39199-6 978-3-642-39200-9</t>
  </si>
  <si>
    <t>http://link.springer.com/10.1007/978-3-642-39200-9_20</t>
  </si>
  <si>
    <t>224-232</t>
  </si>
  <si>
    <t>Series Title: Lecture Notes in Computer Science DOI: 10.1007/978-3-642-39200-9_20</t>
  </si>
  <si>
    <t>Nakevska, Marija; Markovski, Jasen; Rauterberg, Matthias</t>
  </si>
  <si>
    <t>A Model-Driven Engineering Approach for Immersive Mixed-Reality Environments</t>
  </si>
  <si>
    <t>Entertainment Computing – ICEC 2013</t>
  </si>
  <si>
    <t>978-3-642-41105-2 978-3-642-41106-9</t>
  </si>
  <si>
    <t>http://link.springer.com/10.1007/978-3-642-41106-9_18</t>
  </si>
  <si>
    <t>147-150</t>
  </si>
  <si>
    <t>Series Title: Lecture Notes in Computer Science DOI: 10.1007/978-3-642-41106-9_18</t>
  </si>
  <si>
    <t>Belo, Orlando; Gomes, Claudia; Oliveira, Bruno; Marques, Ricardo; Santos, Vasco</t>
  </si>
  <si>
    <t>Using a Domain-Specific Language to Enrich ETL Schemas</t>
  </si>
  <si>
    <t>New Trends in Databases and Information Systems</t>
  </si>
  <si>
    <t>978-3-319-23200-3 978-3-319-23201-0</t>
  </si>
  <si>
    <t>http://link.springer.com/10.1007/978-3-319-23201-0_4</t>
  </si>
  <si>
    <t>28-35</t>
  </si>
  <si>
    <t>Series Title: Communications in Computer and Information Science DOI: 10.1007/978-3-319-23201-0_4</t>
  </si>
  <si>
    <t>Ozyigit, Tamer; Yavuz, Cuneyt; Pieri, Massimo; Murat Egi, S.; Egi, Bahar; Altepe, Corentin; Cialoni, Danilo; Marroni, Alessandro</t>
  </si>
  <si>
    <t>Data Mining on Divers Alert Network DSL Database: Classification of Divers</t>
  </si>
  <si>
    <t>Advances in Data Mining. Applications and Theoretical Aspects</t>
  </si>
  <si>
    <t>978-3-319-41560-4 978-3-319-41561-1</t>
  </si>
  <si>
    <t>http://link.springer.com/10.1007/978-3-319-41561-1_8</t>
  </si>
  <si>
    <t>96-109</t>
  </si>
  <si>
    <t>Series Title: Lecture Notes in Computer Science DOI: 10.1007/978-3-319-41561-1_8</t>
  </si>
  <si>
    <t>Yildiz, Gokalp; Eski, Ozgur</t>
  </si>
  <si>
    <t>An Artificial Neural Network Based Simulation Metamodeling Approach for Dual Resource Constrained Assembly Line</t>
  </si>
  <si>
    <t>Artificial Neural Networks – ICANN 2006</t>
  </si>
  <si>
    <t>978-3-540-38871-5 978-3-540-38873-9</t>
  </si>
  <si>
    <t>http://link.springer.com/10.1007/11840930_104</t>
  </si>
  <si>
    <t>1002-1011</t>
  </si>
  <si>
    <t>Series Title: Lecture Notes in Computer Science DOI: 10.1007/11840930_104</t>
  </si>
  <si>
    <t>Ovhal, Ajay Ashok; Gaikwad, Shweta Prakash</t>
  </si>
  <si>
    <t>A Study of Bridge Tap Effects on DSL Channel</t>
  </si>
  <si>
    <t>Innovations in Electronics and Communication Engineering</t>
  </si>
  <si>
    <t>9789811685118 9789811685125</t>
  </si>
  <si>
    <t>https://link.springer.com/10.1007/978-981-16-8512-5_44</t>
  </si>
  <si>
    <t>413-422</t>
  </si>
  <si>
    <t>Series Title: Lecture Notes in Networks and Systems DOI: 10.1007/978-981-16-8512-5_44</t>
  </si>
  <si>
    <t>Lahoud, Inaya; Monticolo, Davy; Hilaire, Vincent; Gomes, Samuel</t>
  </si>
  <si>
    <t>A Metamodeling and Transformation Approach for Knowledge Extraction</t>
  </si>
  <si>
    <t>978-3-642-30566-5 978-3-642-30567-2</t>
  </si>
  <si>
    <t>http://link.springer.com/10.1007/978-3-642-30567-2_6</t>
  </si>
  <si>
    <t>54-68</t>
  </si>
  <si>
    <t>Series Title: Communications in Computer and Information Science DOI: 10.1007/978-3-642-30567-2_6</t>
  </si>
  <si>
    <t>Conceptual Graphs and Metamodeling</t>
  </si>
  <si>
    <t>Conceptual Structures: Broadening the Base</t>
  </si>
  <si>
    <t>978-3-540-42344-7 978-3-540-44583-8</t>
  </si>
  <si>
    <t>http://link.springer.com/10.1007/3-540-44583-8_18</t>
  </si>
  <si>
    <t>245-259</t>
  </si>
  <si>
    <t>Series Title: Lecture Notes in Computer Science DOI: 10.1007/3-540-44583-8_18</t>
  </si>
  <si>
    <t>Brockmans, Saartje; Haase, Peter; Stuckenschmidt, Heiner</t>
  </si>
  <si>
    <t>Formalism-Independent Specification of Ontology Mappings – A Metamodeling Approach</t>
  </si>
  <si>
    <t>On the Move to Meaningful Internet Systems 2006: CoopIS, DOA, GADA, and ODBASE</t>
  </si>
  <si>
    <t>978-3-540-48287-1 978-3-540-48289-5</t>
  </si>
  <si>
    <t>http://link.springer.com/10.1007/11914853_56</t>
  </si>
  <si>
    <t>901-908</t>
  </si>
  <si>
    <t>Series Title: Lecture Notes in Computer Science DOI: 10.1007/11914853_56</t>
  </si>
  <si>
    <t>Fritzson, Peter</t>
  </si>
  <si>
    <t>The Modelica Object-Oriented Equation-Based Language and Its OpenModelica Environment with MetaModeling, Interoperability, and Parallel Execution</t>
  </si>
  <si>
    <t>http://link.springer.com/10.1007/978-3-642-17319-6_4</t>
  </si>
  <si>
    <t>5-14</t>
  </si>
  <si>
    <t>Series Title: Lecture Notes in Computer Science DOI: 10.1007/978-3-642-17319-6_4</t>
  </si>
  <si>
    <t>Antunes, Francisco; Pereira, Francisco; Ribeiro, Bernardete</t>
  </si>
  <si>
    <t>Directional Grid-Based Search for Simulation Metamodeling Using Active Learning</t>
  </si>
  <si>
    <t>Intelligent Transport Systems. From Research and Development to the Market Uptake</t>
  </si>
  <si>
    <t>978-3-030-38821-8 978-3-030-38822-5</t>
  </si>
  <si>
    <t>http://link.springer.com/10.1007/978-3-030-38822-5_3</t>
  </si>
  <si>
    <t>32-46</t>
  </si>
  <si>
    <t>Series Title: Lecture Notes of the Institute for Computer Sciences, Social Informatics and Telecommunications Engineering DOI: 10.1007/978-3-030-38822-5_3</t>
  </si>
  <si>
    <t>do Amaral, João Victor Soares; de Carvalho Miranda, Rafael; Montevechi, José Arnaldo Barra; dos Santos, Carlos Henrique; Gabriel, Gustavo Teodoro</t>
  </si>
  <si>
    <t>Metamodeling-based simulation optimization in manufacturing problems: a comparative study</t>
  </si>
  <si>
    <t>10.1007/s00170-022-09072-9</t>
  </si>
  <si>
    <t>https://link.springer.com/10.1007/s00170-022-09072-9</t>
  </si>
  <si>
    <t>5205-5224</t>
  </si>
  <si>
    <t>Lybecait, Michael; Kopetzki, Dawid; Zweihoff, Philip; Fuhge, Annika; Naujokat, Stefan; Steffen, Bernhard</t>
  </si>
  <si>
    <t>A Tutorial Introduction to Graphical Modeling and Metamodeling with CINCO</t>
  </si>
  <si>
    <t>Leveraging Applications of Formal Methods, Verification and Validation. Modeling</t>
  </si>
  <si>
    <t>978-3-030-03417-7 978-3-030-03418-4</t>
  </si>
  <si>
    <t>http://link.springer.com/10.1007/978-3-030-03418-4_31</t>
  </si>
  <si>
    <t>519-538</t>
  </si>
  <si>
    <t>Series Title: Lecture Notes in Computer Science DOI: 10.1007/978-3-030-03418-4_31</t>
  </si>
  <si>
    <t>Andreozzi, Sergio; Ciancarini, Paolo; Montesi, Danilo; Moretti, Rocco</t>
  </si>
  <si>
    <t>Towards a Metamodeling Based Method for Representing and Selecting Grid Services</t>
  </si>
  <si>
    <t>Grid Services Engineering and Management</t>
  </si>
  <si>
    <t>978-3-540-23301-5 978-3-540-30190-5</t>
  </si>
  <si>
    <t>http://link.springer.com/10.1007/978-3-540-30190-5_6</t>
  </si>
  <si>
    <t>78-93</t>
  </si>
  <si>
    <t>Series Title: Lecture Notes in Computer Science DOI: 10.1007/978-3-540-30190-5_6</t>
  </si>
  <si>
    <t>Patel, Shuchi; Sheth, Amit</t>
  </si>
  <si>
    <t>Planning and Optimizing Semantic Information Requests Using Domain Modeling and Resource Characteristics</t>
  </si>
  <si>
    <t>Cooperative Information Systems</t>
  </si>
  <si>
    <t>978-3-540-42524-3 978-3-540-44751-1</t>
  </si>
  <si>
    <t>http://link.springer.com/10.1007/3-540-44751-2_12</t>
  </si>
  <si>
    <t>135-149</t>
  </si>
  <si>
    <t>Series Title: Lecture Notes in Computer Science DOI: 10.1007/3-540-44751-2_12</t>
  </si>
  <si>
    <t>Jackson, Ilya</t>
  </si>
  <si>
    <t>Neuroevolutionary Approach to Metamodeling of Production-Inventory Systems with Lost-Sales and Markovian Demand</t>
  </si>
  <si>
    <t>Reliability and Statistics in Transportation and Communication</t>
  </si>
  <si>
    <t>978-3-030-44609-3 978-3-030-44610-9</t>
  </si>
  <si>
    <t>http://link.springer.com/10.1007/978-3-030-44610-9_10</t>
  </si>
  <si>
    <t>90-99</t>
  </si>
  <si>
    <t>Series Title: Lecture Notes in Networks and Systems DOI: 10.1007/978-3-030-44610-9_10</t>
  </si>
  <si>
    <t>Wang, Wei; Zhang, Yin; Wei, Baogang; Li, Yiming</t>
  </si>
  <si>
    <t>An Ontology-Based Domain Modeling Framework for Knowledge Service in Digital Library</t>
  </si>
  <si>
    <t>Knowledge Engineering and Management</t>
  </si>
  <si>
    <t>978-3-642-54929-8 978-3-642-54930-4</t>
  </si>
  <si>
    <t>http://link.springer.com/10.1007/978-3-642-54930-4_38</t>
  </si>
  <si>
    <t>373-383</t>
  </si>
  <si>
    <t>Series Title: Advances in Intelligent Systems and Computing DOI: 10.1007/978-3-642-54930-4_38</t>
  </si>
  <si>
    <t>Rausch, Michael; Sanders, William H.</t>
  </si>
  <si>
    <t>Evaluating the Effectiveness of Metamodeling in Emulating Quantitative Models</t>
  </si>
  <si>
    <t>Quantitative Evaluation of Systems</t>
  </si>
  <si>
    <t>978-3-030-85171-2 978-3-030-85172-9</t>
  </si>
  <si>
    <t>https://link.springer.com/10.1007/978-3-030-85172-9_7</t>
  </si>
  <si>
    <t>127-145</t>
  </si>
  <si>
    <t>Series Title: Lecture Notes in Computer Science DOI: 10.1007/978-3-030-85172-9_7</t>
  </si>
  <si>
    <t>Dubielewicz, Iwona; Hnatkowska, Bogumiła; Huzar, Zbigniew; Tuzinkiewicz, Lech</t>
  </si>
  <si>
    <t>Domain Modeling Based on Requirements Specification and Ontology</t>
  </si>
  <si>
    <t>Software Engineering: Challenges and Solutions</t>
  </si>
  <si>
    <t>978-3-319-43605-0 978-3-319-43606-7</t>
  </si>
  <si>
    <t>http://link.springer.com/10.1007/978-3-319-43606-7_3</t>
  </si>
  <si>
    <t>Series Title: Advances in Intelligent Systems and Computing DOI: 10.1007/978-3-319-43606-7_3</t>
  </si>
  <si>
    <t>Díaz-Manríquez, Alan; Toscano, Gregorio; Coello Coello, Carlos A.</t>
  </si>
  <si>
    <t>Comparison of metamodeling techniques in evolutionary algorithms</t>
  </si>
  <si>
    <t>Soft Computing</t>
  </si>
  <si>
    <t>1432-7643, 1433-7479</t>
  </si>
  <si>
    <t>10.1007/s00500-016-2140-z</t>
  </si>
  <si>
    <t>http://link.springer.com/10.1007/s00500-016-2140-z</t>
  </si>
  <si>
    <t>2017-10</t>
  </si>
  <si>
    <t>5647-5663</t>
  </si>
  <si>
    <t>19</t>
  </si>
  <si>
    <t>Kop, Christian; Mayr, Heinrich C.</t>
  </si>
  <si>
    <t>Templates in Domain Modeling – A Survey</t>
  </si>
  <si>
    <t>The Evolution of Conceptual Modeling</t>
  </si>
  <si>
    <t>978-3-642-17504-6 978-3-642-17505-3</t>
  </si>
  <si>
    <t>http://link.springer.com/10.1007/978-3-642-17505-3_2</t>
  </si>
  <si>
    <t>21-41</t>
  </si>
  <si>
    <t>Series Title: Lecture Notes in Computer Science DOI: 10.1007/978-3-642-17505-3_2</t>
  </si>
  <si>
    <t>Domain Modeling in an Agent-Oriented Application</t>
  </si>
  <si>
    <t>Part-Whole Reasoning in an Object-Centered Framework</t>
  </si>
  <si>
    <t>978-3-540-67225-8 978-3-540-46440-2</t>
  </si>
  <si>
    <t>http://link.springer.com/10.1007/3-540-46440-9_8</t>
  </si>
  <si>
    <t>107-119</t>
  </si>
  <si>
    <t>Series Title: Lecture Notes in Computer Science DOI: 10.1007/3-540-46440-9_8</t>
  </si>
  <si>
    <t>Jorquera, Tom; Georgé, Jean-Pierre; Gleizes, Marie-Pierre; Régis, Christine</t>
  </si>
  <si>
    <t>Agent-Based Natural Domain Modeling for Cooperative Continuous Optimization</t>
  </si>
  <si>
    <t>Computational Collective Intelligence. Technologies and Applications</t>
  </si>
  <si>
    <t>978-3-642-40494-8 978-3-642-40495-5</t>
  </si>
  <si>
    <t>http://link.springer.com/10.1007/978-3-642-40495-5_44</t>
  </si>
  <si>
    <t>Series Title: Lecture Notes in Computer Science DOI: 10.1007/978-3-642-40495-5_44</t>
  </si>
  <si>
    <t>Sturm, Arnon; Reinhartz-Berger, Iris</t>
  </si>
  <si>
    <t>Applying the Application-Based Domain Modeling Approach to UML Structural Views</t>
  </si>
  <si>
    <t>Conceptual Modeling – ER 2004</t>
  </si>
  <si>
    <t>978-3-540-23723-5 978-3-540-30464-7</t>
  </si>
  <si>
    <t>http://link.springer.com/10.1007/978-3-540-30464-7_57</t>
  </si>
  <si>
    <t>766-779</t>
  </si>
  <si>
    <t>Series Title: Lecture Notes in Computer Science DOI: 10.1007/978-3-540-30464-7_57</t>
  </si>
  <si>
    <t>Gouzoulis-Mayfrank, E.; Thelen, B.; Habermeyer, E.; Kunert, H. J.; Kovar, K.-A.; Lindenblatt, H.; Hermle, L.; Spitzer, M.; Sass, H.</t>
  </si>
  <si>
    <t>Psychopathological, neuroendocrine and autonomic effects of 3,4-methylenedioxyethylamphetamine (MDE), psilocybin and d -methamphetamine in healthy volunteers</t>
  </si>
  <si>
    <t>Psychopharmacology</t>
  </si>
  <si>
    <t>0033-3158, 1432-2072</t>
  </si>
  <si>
    <t>10.1007/s002130050860</t>
  </si>
  <si>
    <t>http://link.springer.com/10.1007/s002130050860</t>
  </si>
  <si>
    <t>1999-02-18</t>
  </si>
  <si>
    <t>41-50</t>
  </si>
  <si>
    <t>Huang, Seth H.; Xu, Lingjie; Jiang, Congwei</t>
  </si>
  <si>
    <t>Artificial Intelligence and Advanced Time Series Classification: Residual Attention Net for Cross-Domain Modeling</t>
  </si>
  <si>
    <t>Fintech with Artificial Intelligence, Big Data, and Blockchain</t>
  </si>
  <si>
    <t>http://link.springer.com/10.1007/978-981-33-6137-9_5</t>
  </si>
  <si>
    <t>153-168</t>
  </si>
  <si>
    <t>DOI: 10.1007/978-981-33-6137-9_5 Series Title: Blockchain Technologies</t>
  </si>
  <si>
    <t>Savidis, Anthony; Valsamakis, Yannis; Lilis, Yannis</t>
  </si>
  <si>
    <t>Improved Model-Driven Engineering of User-Interfaces with Generative Macros</t>
  </si>
  <si>
    <t>Universal Access in Human-Computer Interaction. Design and Development Methods for Universal Access</t>
  </si>
  <si>
    <t>978-3-319-07436-8 978-3-319-07437-5</t>
  </si>
  <si>
    <t>http://link.springer.com/10.1007/978-3-319-07437-5_14</t>
  </si>
  <si>
    <t>137-148</t>
  </si>
  <si>
    <t>Series Title: Lecture Notes in Computer Science DOI: 10.1007/978-3-319-07437-5_14</t>
  </si>
  <si>
    <t>Kim, Haeng-Kon</t>
  </si>
  <si>
    <t>Designing of Domain Modeling for Mobile Applications Development</t>
  </si>
  <si>
    <t>Big Data, Cloud Computing, Data Science &amp; Engineering</t>
  </si>
  <si>
    <t>978-3-319-96802-5 978-3-319-96803-2</t>
  </si>
  <si>
    <t>http://link.springer.com/10.1007/978-3-319-96803-2_6</t>
  </si>
  <si>
    <t>71-79</t>
  </si>
  <si>
    <t>Series Title: Studies in Computational Intelligence DOI: 10.1007/978-3-319-96803-2_6</t>
  </si>
  <si>
    <t>Ghanta, Sandesh; Surya Chaitanya, P. V.; Ganti, Sai Sarath Chandra; Roshan Patnaik, M. P. V.; Gopakumar, G.</t>
  </si>
  <si>
    <t>Enhancement of VerticalThings DSL with Learnable Features</t>
  </si>
  <si>
    <t>Advances in Computing and Network Communications</t>
  </si>
  <si>
    <t>978-981-336-976-4 978-981-336-977-1</t>
  </si>
  <si>
    <t>https://link.springer.com/10.1007/978-981-33-6977-1_27</t>
  </si>
  <si>
    <t>347-359</t>
  </si>
  <si>
    <t>Series Title: Lecture Notes in Electrical Engineering DOI: 10.1007/978-981-33-6977-1_27</t>
  </si>
  <si>
    <t>Perry, David J.</t>
  </si>
  <si>
    <t>Screening for Mutations in the Human Antithrombin Gene by Hydrolink D-5000™ and MDE™ Gel Electrophoresis</t>
  </si>
  <si>
    <t>Hemostasis and Thrombosis Protocols</t>
  </si>
  <si>
    <t>978-1-59259-248-7</t>
  </si>
  <si>
    <t>http://link.springer.com/10.1385/1-59259-248-1:125</t>
  </si>
  <si>
    <t>1999-08-04</t>
  </si>
  <si>
    <t>125-130</t>
  </si>
  <si>
    <t>DOI: 10.1385/1-59259-248-1:125 DOI: 10.1385/1-59259-248-1:125</t>
  </si>
  <si>
    <t>Zhu, Zhi; Lei, Yonglin; Li, Qun; Zhu, Yifan</t>
  </si>
  <si>
    <t>Exploring MDE techniques for engineering simulation models</t>
  </si>
  <si>
    <t>Wireless Networks</t>
  </si>
  <si>
    <t>1022-0038, 1572-8196</t>
  </si>
  <si>
    <t>10.1007/s11276-019-02226-w</t>
  </si>
  <si>
    <t>https://link.springer.com/10.1007/s11276-019-02226-w</t>
  </si>
  <si>
    <t>2021-07</t>
  </si>
  <si>
    <t>3549-3560</t>
  </si>
  <si>
    <t>Kim, Haeng-Kon; Lee, Roger Y.</t>
  </si>
  <si>
    <t>Effective Domain Modeling for Mobile Business AHMS (Adaptive Human Management Systems) Requirements</t>
  </si>
  <si>
    <t>Computer and Information Science</t>
  </si>
  <si>
    <t>978-3-319-10508-6 978-3-319-10509-3</t>
  </si>
  <si>
    <t>http://link.springer.com/10.1007/978-3-319-10509-3_12</t>
  </si>
  <si>
    <t>153-169</t>
  </si>
  <si>
    <t>Series Title: Studies in Computational Intelligence DOI: 10.1007/978-3-319-10509-3_12</t>
  </si>
  <si>
    <t>Simko, Marian; Bielikova, Maria</t>
  </si>
  <si>
    <t>Lightweight domain modeling for adaptive web-based educational system</t>
  </si>
  <si>
    <t>10.1007/s10844-018-0518-3</t>
  </si>
  <si>
    <t>http://link.springer.com/10.1007/s10844-018-0518-3</t>
  </si>
  <si>
    <t>165-190</t>
  </si>
  <si>
    <t>Czarnecki, Krzysztof; O’Donnell, John T.; Striegnitz, Jörg; Taha, Walid</t>
  </si>
  <si>
    <t>DSL Implementation in MetaOCaml, Template Haskell, and C++</t>
  </si>
  <si>
    <t>Domain-Specific Program Generation</t>
  </si>
  <si>
    <t>978-3-540-22119-7 978-3-540-25935-0</t>
  </si>
  <si>
    <t>http://link.springer.com/10.1007/978-3-540-25935-0_4</t>
  </si>
  <si>
    <t>51-72</t>
  </si>
  <si>
    <t>Series Title: Lecture Notes in Computer Science DOI: 10.1007/978-3-540-25935-0_4</t>
  </si>
  <si>
    <t>Malagon-Carvajal, Gabriel; Duarte, Cesar; Ordoñez-Plata, Gabriel; Almeida, C. F. M.; Kagan, Nelson</t>
  </si>
  <si>
    <t>A Harmonic Frequency Domain Modeling Method for Single-Phase Full Bridge Rectifiers</t>
  </si>
  <si>
    <t>Journal of Control, Automation and Electrical Systems</t>
  </si>
  <si>
    <t>2195-3880, 2195-3899</t>
  </si>
  <si>
    <t>10.1007/s40313-020-00624-6</t>
  </si>
  <si>
    <t>https://link.springer.com/10.1007/s40313-020-00624-6</t>
  </si>
  <si>
    <t>2020-10</t>
  </si>
  <si>
    <t>1322-1333</t>
  </si>
  <si>
    <t>Clauss, Christoph; Elmqvist, Hilding; Mattsson, Sven Erik; Otter, Martin; Schwarz, Peter</t>
  </si>
  <si>
    <t>Mixed-Domain Modeling in Modelica</t>
  </si>
  <si>
    <t>System Specification &amp; Design Languages</t>
  </si>
  <si>
    <t>978-1-4020-7414-1</t>
  </si>
  <si>
    <t>http://link.springer.com/10.1007/0-306-48734-9_3</t>
  </si>
  <si>
    <t>29-40</t>
  </si>
  <si>
    <t>Kluwer Academic Publishers</t>
  </si>
  <si>
    <t>Boston</t>
  </si>
  <si>
    <t>DOI: 10.1007/0-306-48734-9_3</t>
  </si>
  <si>
    <t>Lawall, Julia L.; Duchesne, Hervé; Muller, Gilles; Le Meur, Anne-Françoise</t>
  </si>
  <si>
    <t>Bossa Nova: Introducing Modularity into the Bossa Domain-Specific Language</t>
  </si>
  <si>
    <t>http://link.springer.com/10.1007/11561347_7</t>
  </si>
  <si>
    <t>Series Title: Lecture Notes in Computer Science DOI: 10.1007/11561347_7</t>
  </si>
  <si>
    <t>Koltun, Gennadiy; Pundel, Mathis</t>
  </si>
  <si>
    <t>Using two case studies to explore the applicability of VIATRA for the model-driven engineering of mechatronic production systems</t>
  </si>
  <si>
    <t>10.1007/s10270-021-00962-2</t>
  </si>
  <si>
    <t>https://link.springer.com/10.1007/s10270-021-00962-2</t>
  </si>
  <si>
    <t>1643-1664</t>
  </si>
  <si>
    <t>Ferreira, Bruno Morais; Pereira, Fernando Magno Quintão; Rodrigues, Hermann; Soares-Filho, Britaldo Silveira</t>
  </si>
  <si>
    <t>Optimizing a Geomodeling Domain Specific Language</t>
  </si>
  <si>
    <t>Programming Languages</t>
  </si>
  <si>
    <t>978-3-642-33181-7 978-3-642-33182-4</t>
  </si>
  <si>
    <t>https://link.springer.com/10.1007/978-3-642-33182-4_8</t>
  </si>
  <si>
    <t>87-101</t>
  </si>
  <si>
    <t>Series Title: Lecture Notes in Computer Science DOI: 10.1007/978-3-642-33182-4_8</t>
  </si>
  <si>
    <t>Chuang, Wei-Chu; Spence, Seymour M. J.</t>
  </si>
  <si>
    <t>Rapid uncertainty quantification for non-linear and stochastic wind excited structures: a metamodeling approach</t>
  </si>
  <si>
    <t>Meccanica</t>
  </si>
  <si>
    <t>0025-6455, 1572-9648</t>
  </si>
  <si>
    <t>10.1007/s11012-019-00958-9</t>
  </si>
  <si>
    <t>http://link.springer.com/10.1007/s11012-019-00958-9</t>
  </si>
  <si>
    <t>1327-1338</t>
  </si>
  <si>
    <t>Visser, Eelco</t>
  </si>
  <si>
    <t>WebDSL: A Case Study in Domain-Specific Language Engineering</t>
  </si>
  <si>
    <t>http://link.springer.com/10.1007/978-3-540-88643-3_7</t>
  </si>
  <si>
    <t>291-373</t>
  </si>
  <si>
    <t>Series Title: Lecture Notes in Computer Science DOI: 10.1007/978-3-540-88643-3_7</t>
  </si>
  <si>
    <t>Liu, Yunliang; Tian, Wei; Zhou, Xiang</t>
  </si>
  <si>
    <t>Energy and carbon performance of urban buildings using metamodeling variable importance techniques</t>
  </si>
  <si>
    <t>10.1007/s12273-020-0688-0</t>
  </si>
  <si>
    <t>https://link.springer.com/10.1007/s12273-020-0688-0</t>
  </si>
  <si>
    <t>535-547</t>
  </si>
  <si>
    <t>Seiler, Thomas-B.; Rastall, Andrew; Leist, Erik; Erdinger, Lothar; Braunbeck, Thomas; Hollert, Henner</t>
  </si>
  <si>
    <t>Membrane Dialysis Extraction (MDE): A Novel Approach for Extracting Toxicologically Relevant Hydrophobic Organic Compounds from Soils and Sediments for Assessment in Biotests</t>
  </si>
  <si>
    <t>Journal of Soils and Sediments</t>
  </si>
  <si>
    <t>1439-0108, 1614-7480</t>
  </si>
  <si>
    <t>10.1065/jss2006.01.151</t>
  </si>
  <si>
    <t>http://link.springer.com/10.1065/jss2006.01.151</t>
  </si>
  <si>
    <t>2006-02</t>
  </si>
  <si>
    <t>20-29</t>
  </si>
  <si>
    <t>Sobernig, Stefan</t>
  </si>
  <si>
    <t>DSL as Variable Software</t>
  </si>
  <si>
    <t>Variable Domain-specific Software Languages with DjDSL</t>
  </si>
  <si>
    <t>978-3-030-42151-9 978-3-030-42152-6</t>
  </si>
  <si>
    <t>http://link.springer.com/10.1007/978-3-030-42152-6_1</t>
  </si>
  <si>
    <t>1-31</t>
  </si>
  <si>
    <t>DOI: 10.1007/978-3-030-42152-6_1</t>
  </si>
  <si>
    <t>Mazak, Alexandra; Wolny, Sabine; Wimmer, Manuel</t>
  </si>
  <si>
    <t>On the Need for Data-Based Model-Driven Engineering</t>
  </si>
  <si>
    <t>Security and Quality in Cyber-Physical Systems Engineering</t>
  </si>
  <si>
    <t>978-3-030-25311-0 978-3-030-25312-7</t>
  </si>
  <si>
    <t>http://link.springer.com/10.1007/978-3-030-25312-7_5</t>
  </si>
  <si>
    <t>103-127</t>
  </si>
  <si>
    <t>DOI: 10.1007/978-3-030-25312-7_5</t>
  </si>
  <si>
    <t>Burnay, Corentin; Giunta, Benito</t>
  </si>
  <si>
    <t>Towards Integrated Model-Driven Engineering Approach to Business Intelligence</t>
  </si>
  <si>
    <t>https://link.springer.com/10.1007/978-3-031-05760-1_38</t>
  </si>
  <si>
    <t>635-643</t>
  </si>
  <si>
    <t>DOI: 10.1007/978-3-031-05760-1_38 Series Title: Lecture Notes in Business Information Processing</t>
  </si>
  <si>
    <t>Slawik, Mathias; Küpper, Axel</t>
  </si>
  <si>
    <t>A Domain Specific Language and a Pertinent Business Vocabulary for Cloud Service Selection</t>
  </si>
  <si>
    <t>978-3-319-14608-9 978-3-319-14609-6</t>
  </si>
  <si>
    <t>http://link.springer.com/10.1007/978-3-319-14609-6_12</t>
  </si>
  <si>
    <t>172-185</t>
  </si>
  <si>
    <t>Series Title: Lecture Notes in Computer Science DOI: 10.1007/978-3-319-14609-6_12</t>
  </si>
  <si>
    <t>Heine, Felix; Kleiner, Carsten; Oelsner, Thomas</t>
  </si>
  <si>
    <t>A DSL for Automated Data Quality Monitoring</t>
  </si>
  <si>
    <t>Database and Expert Systems Applications</t>
  </si>
  <si>
    <t>978-3-030-59002-4 978-3-030-59003-1</t>
  </si>
  <si>
    <t>https://link.springer.com/10.1007/978-3-030-59003-1_6</t>
  </si>
  <si>
    <t>89-105</t>
  </si>
  <si>
    <t>Series Title: Lecture Notes in Computer Science DOI: 10.1007/978-3-030-59003-1_6</t>
  </si>
  <si>
    <t>Morimoto, Masaki; Fukami, Kai; Zhang, Kai; Nair, Aditya G.; Fukagata, Koji</t>
  </si>
  <si>
    <t>Convolutional neural networks for fluid flow analysis: toward effective metamodeling and low dimensionalization</t>
  </si>
  <si>
    <t>Theoretical and Computational Fluid Dynamics</t>
  </si>
  <si>
    <t>0935-4964, 1432-2250</t>
  </si>
  <si>
    <t>10.1007/s00162-021-00580-0</t>
  </si>
  <si>
    <t>https://link.springer.com/10.1007/s00162-021-00580-0</t>
  </si>
  <si>
    <t>2021-10</t>
  </si>
  <si>
    <t>633-658</t>
  </si>
  <si>
    <t>Li, Genzi; Aute, Vikrant; Azarm, Shapour</t>
  </si>
  <si>
    <t>An accumulative error based adaptive design of experiments for offline metamodeling</t>
  </si>
  <si>
    <t>10.1007/s00158-009-0395-z</t>
  </si>
  <si>
    <t>http://link.springer.com/10.1007/s00158-009-0395-z</t>
  </si>
  <si>
    <t>2010-01</t>
  </si>
  <si>
    <t>137-155</t>
  </si>
  <si>
    <t>Hamad, Husam; Al-Hamdan, Sami; Al-Zaben, Awad</t>
  </si>
  <si>
    <t>Space partitioning in piecewise metamodeling: a graphical approach</t>
  </si>
  <si>
    <t>10.1007/s00158-009-0428-7</t>
  </si>
  <si>
    <t>http://link.springer.com/10.1007/s00158-009-0428-7</t>
  </si>
  <si>
    <t>2010-04</t>
  </si>
  <si>
    <t>441-452</t>
  </si>
  <si>
    <t>Ortiz, Francisco J.; Pastor, Juan A.; Alonso, Diego; Álvarez, Bárbara; Sánchez, Pedro</t>
  </si>
  <si>
    <t>Experiences Using a Component-Oriented Architectural Framework for Robots and Its Improvement with a MDE Approach</t>
  </si>
  <si>
    <t>978-3-540-75131-1 978-3-540-75132-8</t>
  </si>
  <si>
    <t>http://link.springer.com/10.1007/978-3-540-75132-8_37</t>
  </si>
  <si>
    <t>335-338</t>
  </si>
  <si>
    <t>ISSN: 0302-9743, 1611-3349 Series Title: Lecture Notes in Computer Science DOI: 10.1007/978-3-540-75132-8_37</t>
  </si>
  <si>
    <t>Lopes, Denivaldo; Hammoudi, Slimane; Abdelouahab, Zair</t>
  </si>
  <si>
    <t>Schema Matching in the Context of Model Driven Engineering: From Theory to Practice</t>
  </si>
  <si>
    <t>Advances in Systems, Computing Sciences and Software Engineering</t>
  </si>
  <si>
    <t>978-1-4020-5262-0</t>
  </si>
  <si>
    <t>http://link.springer.com/10.1007/1-4020-5263-4_36</t>
  </si>
  <si>
    <t>219-227</t>
  </si>
  <si>
    <t>DOI: 10.1007/1-4020-5263-4_36</t>
  </si>
  <si>
    <t>Audsley, Neil; Gray, Ian; Kolovos, Dimitris; Matragkas, Nikos; Paige, Richard; Indrusiak, Leandro Soares</t>
  </si>
  <si>
    <t>Automatic Development of Embedded Systems Using Model Driven Engineering and Compile-Time Virtualisation</t>
  </si>
  <si>
    <t>Embedded and Real Time System Development: A Software Engineering Perspective</t>
  </si>
  <si>
    <t>978-3-642-40887-8 978-3-642-40888-5</t>
  </si>
  <si>
    <t>http://link.springer.com/10.1007/978-3-642-40888-5_2</t>
  </si>
  <si>
    <t>23-53</t>
  </si>
  <si>
    <t>Series Title: Studies in Computational Intelligence DOI: 10.1007/978-3-642-40888-5_2</t>
  </si>
  <si>
    <t>Belkadi, Fatima Zahra; Esbai, Redouane</t>
  </si>
  <si>
    <t>Model-Driven Engineering: From SQL Relational Database to Column—Oriented Database in Big Data Context</t>
  </si>
  <si>
    <t>Networking, Intelligent Systems and Security</t>
  </si>
  <si>
    <t>9789811636363 9789811636370</t>
  </si>
  <si>
    <t>https://link.springer.com/10.1007/978-981-16-3637-0_47</t>
  </si>
  <si>
    <t>667-678</t>
  </si>
  <si>
    <t>Series Title: Smart Innovation, Systems and Technologies DOI: 10.1007/978-981-16-3637-0_47</t>
  </si>
  <si>
    <t>Zallio, Matteo; Kelly, Paula; Cryan, Barry; Berry, Damon</t>
  </si>
  <si>
    <t>A Co-Design Approach for a Smart Cooking Appliance. The Application of a Domain Specific Language</t>
  </si>
  <si>
    <t>Advances in Usability, User Experience, Wearable and Assistive Technology</t>
  </si>
  <si>
    <t>978-3-030-80090-1 978-3-030-80091-8</t>
  </si>
  <si>
    <t>https://link.springer.com/10.1007/978-3-030-80091-8_59</t>
  </si>
  <si>
    <t>503-511</t>
  </si>
  <si>
    <t>Series Title: Lecture Notes in Networks and Systems DOI: 10.1007/978-3-030-80091-8_59</t>
  </si>
  <si>
    <t>Nazir, Anam; Alam, Masoom; Malik, Saif U. R.; Akhunzada, Adnan; Cheema, Muhammad Nadeem; Khan, Muhammad Khurram; Ziang, Yang; Khan, Tanveer; Khan, Abid</t>
  </si>
  <si>
    <t>A high-level domain-specific language for SIEM (design, development and formal verification)</t>
  </si>
  <si>
    <t>10.1007/s10586-017-0819-2</t>
  </si>
  <si>
    <t>http://link.springer.com/10.1007/s10586-017-0819-2</t>
  </si>
  <si>
    <t>2017-09</t>
  </si>
  <si>
    <t>2423-2437</t>
  </si>
  <si>
    <t>Groeneveld, Desirée; Tekinerdogan, Bedir; Garousi, Vahid; Catal, Cagatay</t>
  </si>
  <si>
    <t>A domain-specific language framework for farm management information systems in precision agriculture</t>
  </si>
  <si>
    <t>Precision Agriculture</t>
  </si>
  <si>
    <t>1385-2256, 1573-1618</t>
  </si>
  <si>
    <t>10.1007/s11119-020-09770-y</t>
  </si>
  <si>
    <t>https://link.springer.com/10.1007/s11119-020-09770-y</t>
  </si>
  <si>
    <t>1067-1106</t>
  </si>
  <si>
    <t>Yang, Junqi; Zhan, Zhenfei; Zheng, Kai; Chen, Chong; Hu, Jie; Zheng, Ling</t>
  </si>
  <si>
    <t>An uncertainty representation based sampling method for metamodeling in auto-motive design applications</t>
  </si>
  <si>
    <t>Journal of Mechanical Science and Technology</t>
  </si>
  <si>
    <t>1738-494X, 1976-3824</t>
  </si>
  <si>
    <t>10.1007/s12206-016-0935-6</t>
  </si>
  <si>
    <t>http://link.springer.com/10.1007/s12206-016-0935-6</t>
  </si>
  <si>
    <t>2016-10</t>
  </si>
  <si>
    <t>4645-4655</t>
  </si>
  <si>
    <t>Yılmaz, İlhan; Yelek, İbrahim; Özcanan, Sedat; Atahan, Ali Osman; Hiekmann, J. Marten</t>
  </si>
  <si>
    <t>Artificial neural network metamodeling-based design optimization of a continuous motorcyclists protection barrier system</t>
  </si>
  <si>
    <t>10.1007/s00158-021-03080-1</t>
  </si>
  <si>
    <t>https://link.springer.com/10.1007/s00158-021-03080-1</t>
  </si>
  <si>
    <t>4305-4323</t>
  </si>
  <si>
    <t>Özsoy, Ege; Örnek, Evin Pınar; Eck, Ulrich; Czempiel, Tobias; Tombari, Federico; Navab, Nassir</t>
  </si>
  <si>
    <t>4D-OR: Semantic Scene Graphs for OR Domain Modeling</t>
  </si>
  <si>
    <t>Medical Image Computing and Computer Assisted Intervention – MICCAI 2022</t>
  </si>
  <si>
    <t>978-3-031-16448-4 978-3-031-16449-1</t>
  </si>
  <si>
    <t>https://link.springer.com/10.1007/978-3-031-16449-1_45</t>
  </si>
  <si>
    <t>475-485</t>
  </si>
  <si>
    <t>Series Title: Lecture Notes in Computer Science DOI: 10.1007/978-3-031-16449-1_45</t>
  </si>
  <si>
    <t>Bork, Dominik; Anagnostou, Konstantinos; Wimmer, Manuel</t>
  </si>
  <si>
    <t>Towards Interoperable Metamodeling Platforms: The Case of Bridging ADOxx and EMF</t>
  </si>
  <si>
    <t>978-3-031-07471-4 978-3-031-07472-1</t>
  </si>
  <si>
    <t>https://link.springer.com/10.1007/978-3-031-07472-1_28</t>
  </si>
  <si>
    <t>479-497</t>
  </si>
  <si>
    <t>Series Title: Lecture Notes in Computer Science DOI: 10.1007/978-3-031-07472-1_28</t>
  </si>
  <si>
    <t>http://link.springer.com/10.1007/978-1-4899-0676-2_12</t>
  </si>
  <si>
    <t>255-274</t>
  </si>
  <si>
    <t>DOI: 10.1007/978-1-4899-0676-2_12</t>
  </si>
  <si>
    <t>Hermida, Jesús M.; Meliá, Santiago; Montoyo, Andrés; Gómez, Jaime</t>
  </si>
  <si>
    <t>Applying model-driven engineering to the development of Rich Internet Applications for Business Intelligence</t>
  </si>
  <si>
    <t>Information Systems Frontiers</t>
  </si>
  <si>
    <t>1387-3326, 1572-9419</t>
  </si>
  <si>
    <t>10.1007/s10796-012-9402-9</t>
  </si>
  <si>
    <t>http://link.springer.com/10.1007/s10796-012-9402-9</t>
  </si>
  <si>
    <t>2013-07</t>
  </si>
  <si>
    <t>411-431</t>
  </si>
  <si>
    <t>Giunta, Benito</t>
  </si>
  <si>
    <t>A Model-Driven Engineering Approach to Complex Performance Indicators: Towards Self-Service Performance Management (SS-PM)</t>
  </si>
  <si>
    <t>978-3-030-75017-6 978-3-030-75018-3</t>
  </si>
  <si>
    <t>https://link.springer.com/10.1007/978-3-030-75018-3_50</t>
  </si>
  <si>
    <t>661-669</t>
  </si>
  <si>
    <t>Series Title: Lecture Notes in Business Information Processing DOI: 10.1007/978-3-030-75018-3_50</t>
  </si>
  <si>
    <t>Eberius, Julian; Thiele, Maik; Lehner, Wolfgang</t>
  </si>
  <si>
    <t>A Domain-Specific Language for Do-It-Yourself Analytical Mashups</t>
  </si>
  <si>
    <t>Current Trends in Web Engineering</t>
  </si>
  <si>
    <t>978-3-642-27996-6 978-3-642-27997-3</t>
  </si>
  <si>
    <t>http://link.springer.com/10.1007/978-3-642-27997-3_36</t>
  </si>
  <si>
    <t>337-341</t>
  </si>
  <si>
    <t>Series Title: Lecture Notes in Computer Science DOI: 10.1007/978-3-642-27997-3_36</t>
  </si>
  <si>
    <t>Dou, Wei; Bianculli, Domenico; Briand, Lionel</t>
  </si>
  <si>
    <t>Revisiting Model-Driven Engineering for Run-Time Verification of Business Processes</t>
  </si>
  <si>
    <t>System Analysis and Modeling: Models and Reusability</t>
  </si>
  <si>
    <t>978-3-319-11742-3 978-3-319-11743-0</t>
  </si>
  <si>
    <t>http://link.springer.com/10.1007/978-3-319-11743-0_13</t>
  </si>
  <si>
    <t>190-197</t>
  </si>
  <si>
    <t>Series Title: Lecture Notes in Computer Science DOI: 10.1007/978-3-319-11743-0_13</t>
  </si>
  <si>
    <t>Hawila, Abed Al-Waheed; Merabtine, Abdelatif; Troussier, Nadège</t>
  </si>
  <si>
    <t>Metamodeling of mean radiant temperature to optimize glass facade design in PMV-based comfort controlled space</t>
  </si>
  <si>
    <t>10.1007/s12273-019-0580-y</t>
  </si>
  <si>
    <t>http://link.springer.com/10.1007/s12273-019-0580-y</t>
  </si>
  <si>
    <t>271-286</t>
  </si>
  <si>
    <t>González, Oscar; Casallas, Rubby; Deridder, Dirk</t>
  </si>
  <si>
    <t>MMC-BPM: A Domain-Specific Language for Business Processes Analysis</t>
  </si>
  <si>
    <t>Business Information Systems</t>
  </si>
  <si>
    <t>978-3-642-01189-4 978-3-642-01190-0</t>
  </si>
  <si>
    <t>http://link.springer.com/10.1007/978-3-642-01190-0_14</t>
  </si>
  <si>
    <t>157-168</t>
  </si>
  <si>
    <t>Series Title: Lecture Notes in Business Information Processing DOI: 10.1007/978-3-642-01190-0_14</t>
  </si>
  <si>
    <t>Veerakumar, Ramsankar; Raul, Vishal; Liu, Yang; Wang, Xiaodong; Leifsson, Leifur; Hu, Hui</t>
  </si>
  <si>
    <t>Metamodeling-based parametric optimization of DBD plasma actuation to suppress flow separation over a wind turbine airfoil model</t>
  </si>
  <si>
    <t>Acta Mechanica Sinica</t>
  </si>
  <si>
    <t>0567-7718, 1614-3116</t>
  </si>
  <si>
    <t>10.1007/s10409-020-00951-6</t>
  </si>
  <si>
    <t>https://link.springer.com/10.1007/s10409-020-00951-6</t>
  </si>
  <si>
    <t>260-274</t>
  </si>
  <si>
    <t>Parnami, Pooja; Jain, Aman; Sharma, Navneet</t>
  </si>
  <si>
    <t>Toward Adapting Metamodeling Approach for Legacy to Cloud Migration</t>
  </si>
  <si>
    <t>Ambient Communications and Computer Systems</t>
  </si>
  <si>
    <t>9789811359330 9789811359347</t>
  </si>
  <si>
    <t>http://link.springer.com/10.1007/978-981-13-5934-7_25</t>
  </si>
  <si>
    <t>275-284</t>
  </si>
  <si>
    <t>Series Title: Advances in Intelligent Systems and Computing DOI: 10.1007/978-981-13-5934-7_25</t>
  </si>
  <si>
    <t>Revault, Nicolas; Yoder, Joseph W.</t>
  </si>
  <si>
    <t>Adaptive Object-Models and Metamodeling Techniques</t>
  </si>
  <si>
    <t>Object-Oriented Technology</t>
  </si>
  <si>
    <t>978-3-540-43675-1 978-3-540-47853-9</t>
  </si>
  <si>
    <t>http://link.springer.com/10.1007/3-540-47853-1_5</t>
  </si>
  <si>
    <t>57-71</t>
  </si>
  <si>
    <t>Series Title: Lecture Notes in Computer Science DOI: 10.1007/3-540-47853-1_5</t>
  </si>
  <si>
    <t>Wang, Shuanqi; Wu, Xiuhua; Yu, Hang; Li, Zhibo; Wu, Wei</t>
  </si>
  <si>
    <t>Dependability Argument Metamodeling of Networked Software</t>
  </si>
  <si>
    <t>Proceedings of 2022 10th China Conference on Command and Control</t>
  </si>
  <si>
    <t>978-981-19605-1-2 978-981-19605-2-9</t>
  </si>
  <si>
    <t>https://link.springer.com/10.1007/978-981-19-6052-9_33</t>
  </si>
  <si>
    <t>353-362</t>
  </si>
  <si>
    <t>Series Title: Lecture Notes in Electrical Engineering DOI: 10.1007/978-981-19-6052-9_33</t>
  </si>
  <si>
    <t>Sunkle, Sagar; Saxena, Krati; Patil, Ashwini; Kulkarni, Vinay</t>
  </si>
  <si>
    <t>AI-driven streamlined modeling: experiences and lessons learned from multiple domains</t>
  </si>
  <si>
    <t>Softw. Syst. Model.</t>
  </si>
  <si>
    <t>10.1007/s10270-022-00982-6</t>
  </si>
  <si>
    <t>https://doi.org/10.1007/s10270-022-00982-6</t>
  </si>
  <si>
    <t>1–23</t>
  </si>
  <si>
    <t>Zhan, Jingtao; Ai, Qingyao; Liu, Yiqun; Mao, Jiaxin; Xie, Xiaohui; Zhang, Min; Ma, Shaoping</t>
  </si>
  <si>
    <t>Disentangled Modeling of Domain and Relevance for Adaptable Dense Retrieval</t>
  </si>
  <si>
    <t>CoRR</t>
  </si>
  <si>
    <t>10.48550/arXiv.2208.05753</t>
  </si>
  <si>
    <t>https://doi.org/10.48550/arXiv.2208.05753</t>
  </si>
  <si>
    <t>arXiv: 2208.05753</t>
  </si>
  <si>
    <t>Idani, Akram; Ledru, Yves; Wakrime, Abderrahim Ait; Ayed, Rahma Ben; Bon, Philippe</t>
  </si>
  <si>
    <t>Towards a Tool-Based Domain Specific Approach for Railway Systems Modeling and Validation</t>
  </si>
  <si>
    <t>Reliability, Safety, and Security of Railway Systems. Modelling, Analysis, Verification, and Certification - Third International Conference, RSSRail 2019, Lille, France, June 4-6, 2019, Proceedings</t>
  </si>
  <si>
    <t>10.1007/978-3-030-18744-6_2</t>
  </si>
  <si>
    <t>https://doi.org/10.1007/978-3-030-18744-6\_2</t>
  </si>
  <si>
    <t>23–40</t>
  </si>
  <si>
    <t>Jilani, Rabia</t>
  </si>
  <si>
    <t>Learning Static Constraints for Domain Modeling from Training Plans</t>
  </si>
  <si>
    <t>Proceedings of the Doctoral Consortium (DC) co-located with the 14th Conference of the Italian Association for Artificial Intelligence (AI*IA 2015), Ferrara, Italy, September 23-24, 2015</t>
  </si>
  <si>
    <t>http://ceur-ws.org/Vol-1485/paper6.pdf</t>
  </si>
  <si>
    <t>31–36</t>
  </si>
  <si>
    <t>CEUR-WS.org</t>
  </si>
  <si>
    <t>Panagiotopoulos, Ioannis; Kalou, Aikaterini K.; Pierrakeas, Christos; Kameas, Achilles</t>
  </si>
  <si>
    <t>An Ontological Approach for Domain Knowledge Modeling and Management in E-Learning Systems</t>
  </si>
  <si>
    <t>Artificial Intelligence Applications and Innovations - AIAI 2012 International Workshops: AIAB, AIeIA, CISE, COPA, IIVC, ISQL, MHDW, and WADTMB, Halkidiki, Greece, September 27-30, 2012, Proceedings, Part II</t>
  </si>
  <si>
    <t>10.1007/978-3-642-33412-2_10</t>
  </si>
  <si>
    <t>https://doi.org/10.1007/978-3-642-33412-2\_10</t>
  </si>
  <si>
    <t>95–104</t>
  </si>
  <si>
    <t>Kakas, Antonis C.; Michael, Loizos</t>
  </si>
  <si>
    <t>Modeling Complex Domains of Actions and Change</t>
  </si>
  <si>
    <t>https://arxiv.org/abs/cs/0207056</t>
  </si>
  <si>
    <t>thesis</t>
  </si>
  <si>
    <t>Abdel-Fattah, Ahmed Mohammed Hassan</t>
  </si>
  <si>
    <t>Utilizing cross-domain cognitive mechansims for modeling aspects of artificial general intelligence</t>
  </si>
  <si>
    <t>https://d-nb.info/1051609224</t>
  </si>
  <si>
    <t>University of Osnabrück</t>
  </si>
  <si>
    <t>Zhou, Yue; Kong, Wei; Xu, Qing</t>
  </si>
  <si>
    <t>A Novel Modeling and Recognition Method for Underwater Sound Based on HMT in Wavelet Domain</t>
  </si>
  <si>
    <t>AI 2004: Advances in Artificial Intelligence, 17th Australian Joint Conference on Artificial Intelligence, Cairns, Australia, December 4-6, 2004, Proceedings</t>
  </si>
  <si>
    <t>10.1007/978-3-540-30549-1_30</t>
  </si>
  <si>
    <t>https://doi.org/10.1007/978-3-540-30549-1\_30</t>
  </si>
  <si>
    <t>332–343</t>
  </si>
  <si>
    <t>Yang, Min; Qu, Qiang; Shen, Ying; Lei, Kai; Zhu, Jia</t>
  </si>
  <si>
    <t>Cross-domain aspect/sentiment-aware abstractive review summarization by combining topic modeling and deep reinforcement learning</t>
  </si>
  <si>
    <t>Neural Comput. Appl.</t>
  </si>
  <si>
    <t>10.1007/s00521-018-3825-2</t>
  </si>
  <si>
    <t>https://doi.org/10.1007/s00521-018-3825-2</t>
  </si>
  <si>
    <t>6421–6433</t>
  </si>
  <si>
    <t>Kristianto, Giovanni Yoko; Zhang, Huiwen; Tong, Bin; Iwayama, Makoto; Kobayashi, Yoshiyuki</t>
  </si>
  <si>
    <t>Autonomous Sub-domain Modeling for Dialogue Policy with Hierarchical Deep Reinforcement Learning</t>
  </si>
  <si>
    <t>Proceedings of the 2nd International Workshop on Search-Oriented Conversational AI, SCAI@EMNLP 2018, Brussels, Belgium, October 31, 2018</t>
  </si>
  <si>
    <t>10.18653/v1/w18-5702</t>
  </si>
  <si>
    <t>https://doi.org/10.18653/v1/w18-5702</t>
  </si>
  <si>
    <t>9–16</t>
  </si>
  <si>
    <t>Association for Computational Linguistics</t>
  </si>
  <si>
    <t>Sunkle, Sagar; Kholkar, Deepali; Kulkarni, Vinay</t>
  </si>
  <si>
    <t>Informed Active Learning to Aid Domain Experts in Modeling Compliance</t>
  </si>
  <si>
    <t>20th IEEE International Enterprise Distributed Object Computing Conference, EDOC 2016, Vienna, Austria, September 5-9, 2016</t>
  </si>
  <si>
    <t>10.1109/EDOC.2016.7579382</t>
  </si>
  <si>
    <t>https://doi.org/10.1109/EDOC.2016.7579382</t>
  </si>
  <si>
    <t>1–10</t>
  </si>
  <si>
    <t>Zhu, Jing; Gong, Xinwei; Chen, Guilin</t>
  </si>
  <si>
    <t>Deep Learning Based Language Modeling for Domain-Specific Speech Recognition</t>
  </si>
  <si>
    <t>Digital TV and Wireless Multimedia Communication - 13th International Forum, IFTC 2016, Shanghai, China, November 9-10, 2016, Revised Selected Papers</t>
  </si>
  <si>
    <t>10.1007/978-981-10-4211-9_24</t>
  </si>
  <si>
    <t>https://doi.org/10.1007/978-981-10-4211-9\_24</t>
  </si>
  <si>
    <t>242–251</t>
  </si>
  <si>
    <t>Elkahky, Ali Mamdouh; Song, Yang; He, Xiaodong</t>
  </si>
  <si>
    <t>A Multi-View Deep Learning Approach for Cross Domain User Modeling in Recommendation Systems</t>
  </si>
  <si>
    <t>Proceedings of the 24th International Conference on World Wide Web, WWW 2015, Florence, Italy, May 18-22, 2015</t>
  </si>
  <si>
    <t>10.1145/2736277.2741667</t>
  </si>
  <si>
    <t>https://doi.org/10.1145/2736277.2741667</t>
  </si>
  <si>
    <t>278–288</t>
  </si>
  <si>
    <t>Xing, Wenpu; Ghorbani, Ali A.</t>
  </si>
  <si>
    <t>Information Domain Modeling for Adaptive Web Systems</t>
  </si>
  <si>
    <t>2005 IEEE / WIC / ACM International Conference on Web Intelligence (WI 2005), 19-22 September 2005, Compiegne, France</t>
  </si>
  <si>
    <t>10.1109/WI.2005.77</t>
  </si>
  <si>
    <t>https://doi.org/10.1109/WI.2005.77</t>
  </si>
  <si>
    <t>684–687</t>
  </si>
  <si>
    <t>Bennetts, Victor Manuel Hernandez; Kamarudin, Kamarulzaman; Wiedemann, Thomas; Kucner, Tomasz Piotr; Somisetty, Sai Lokesh; Lilienthal, Achim J.</t>
  </si>
  <si>
    <t>Multi-Domain Airflow Modeling and Ventilation Characterization Using Mobile Robots, Stationary Sensors and Machine Learning</t>
  </si>
  <si>
    <t>Sensors</t>
  </si>
  <si>
    <t>10.3390/s19051119</t>
  </si>
  <si>
    <t>https://doi.org/10.3390/s19051119</t>
  </si>
  <si>
    <t>1119</t>
  </si>
  <si>
    <t>Koseler, Kaan; McGraw, Kelsea; Stephan, Matthew</t>
  </si>
  <si>
    <t>Realization of a Machine Learning Domain Specific Modeling Language: A Baseball Analytics Case Study</t>
  </si>
  <si>
    <t>Proceedings of the 7th International Conference on Model-Driven Engineering and Software Development, MODELSWARD 2019, Prague, Czech Republic, February 20-22, 2019</t>
  </si>
  <si>
    <t>10.5220/0007245800150026</t>
  </si>
  <si>
    <t>https://doi.org/10.5220/0007245800150026</t>
  </si>
  <si>
    <t>13–24</t>
  </si>
  <si>
    <t>SciTePress</t>
  </si>
  <si>
    <t>Burwinkel, Hendrik; Matz, Holger; Saur, Stefan; Hauger, Christoph; Evren, Ayse Mine; Hirnschall, Nino; Findl, Oliver; Navab, Nassir; Ahmadi, Seyed-Ahmad</t>
  </si>
  <si>
    <t>Domain-Specific Loss Design for Unsupervised Physical Training: A New Approach to Modeling Medical ML Solutions</t>
  </si>
  <si>
    <t>Medical Image Computing and Computer Assisted Intervention - MICCAI 2020 - 23rd International Conference, Lima, Peru, October 4-8, 2020, Proceedings, Part II</t>
  </si>
  <si>
    <t>10.1007/978-3-030-59713-9_52</t>
  </si>
  <si>
    <t>https://doi.org/10.1007/978-3-030-59713-9\_52</t>
  </si>
  <si>
    <t>540–550</t>
  </si>
  <si>
    <t>Boyer, Kristy Elizabeth; Ha, Eunyoung; Phillips, Robert; Wallis, Michael D.; Vouk, Mladen A.; Lester, James C.</t>
  </si>
  <si>
    <t>Dialogue Act Modeling in a Complex Task-Oriented Domain</t>
  </si>
  <si>
    <t>Proceedings of the SIGDIAL 2010 Conference, The 11th Annual Meeting of the Special Interest Group on Discourse and Dialogue, 24-15 September 2010, Tokyo, Japan</t>
  </si>
  <si>
    <t>https://aclanthology.org/W10-4356/</t>
  </si>
  <si>
    <t>297–305</t>
  </si>
  <si>
    <t>The Association for Computer Linguistics</t>
  </si>
  <si>
    <t>Kusmenko, Evgeny</t>
  </si>
  <si>
    <t>Model-Driven Development Methodology and Domain-Specific Languages for the Design of Artificial Intelligence in Cyber-Physical Systems</t>
  </si>
  <si>
    <t>https://publications.rwth-aachen.de/record/835778</t>
  </si>
  <si>
    <t>RWTH Aachen University, Germany</t>
  </si>
  <si>
    <t>ISBN: 978-3-8440-8286-9</t>
  </si>
  <si>
    <t>Zhao, Tian; Huang, Xiaobing; Cao, Yu</t>
  </si>
  <si>
    <t>DeepDSL: A Compilation-based Domain-Specific Language for Deep Learning</t>
  </si>
  <si>
    <t>5th International Conference on Learning Representations, ICLR 2017, Toulon, France, April 24-26, 2017, Conference Track Proceedings</t>
  </si>
  <si>
    <t>https://openreview.net/forum?id=Bks8cPcxe</t>
  </si>
  <si>
    <t>OpenReview.net</t>
  </si>
  <si>
    <t>Guinn, Curry I.; Crist, D.; Werth, H. St</t>
  </si>
  <si>
    <t>A comparison of hand-crafted semantic grammars versus statistical natural language parsing in domain-specific voice transcription</t>
  </si>
  <si>
    <t>Proceedings of the Second IASTED International Conference on Computational Intelligence, San Francisco, California, USA, November 20-22, 2006</t>
  </si>
  <si>
    <t>377–382</t>
  </si>
  <si>
    <t>IASTED/ACTA Press</t>
  </si>
  <si>
    <t>Zucker, Julian; d'Leeuwen, Myraeka</t>
  </si>
  <si>
    <t>Arbiter: A Domain-Specific Language for Ethical Machine Learning</t>
  </si>
  <si>
    <t>AIES '20: AAAI/ACM Conference on AI, Ethics, and Society, New York, NY, USA, February 7-8, 2020</t>
  </si>
  <si>
    <t>10.1145/3375627.3375858</t>
  </si>
  <si>
    <t>https://doi.org/10.1145/3375627.3375858</t>
  </si>
  <si>
    <t>421–425</t>
  </si>
  <si>
    <t>Poroor, Jayaraj</t>
  </si>
  <si>
    <t>MotePy: A domain specific language for low-overhead machine learning and data processing</t>
  </si>
  <si>
    <t>https://arxiv.org/abs/2011.05194</t>
  </si>
  <si>
    <t>arXiv: 2011.05194</t>
  </si>
  <si>
    <t>Portugal, Ivens; Alencar, Paulo S. C.; Cowan, Donald D.</t>
  </si>
  <si>
    <t>A Preliminary Survey on Domain-Specific Languages for Machine Learning in Big Data</t>
  </si>
  <si>
    <t>2016 IEEE International Conference on Software Science, Technology and Engineering, SWSTE 2016, Beer Sheva, Israel, June 23-24, 2016</t>
  </si>
  <si>
    <t>10.1109/SWSTE.2016.23</t>
  </si>
  <si>
    <t>https://doi.org/10.1109/SWSTE.2016.23</t>
  </si>
  <si>
    <t>108–110</t>
  </si>
  <si>
    <t>IEEE</t>
  </si>
  <si>
    <t>Breuker, Dominic</t>
  </si>
  <si>
    <t>Towards Model-Driven Engineering for Big Data Analytics - An Exploratory Analysis of Domain-Specific Languages for Machine Learning</t>
  </si>
  <si>
    <t>47th Hawaii International Conference on System Sciences, HICSS 2014, Waikoloa, HI, USA, January 6-9, 2014</t>
  </si>
  <si>
    <t>10.1109/HICSS.2014.101</t>
  </si>
  <si>
    <t>https://doi.org/10.1109/HICSS.2014.101</t>
  </si>
  <si>
    <t>758–767</t>
  </si>
  <si>
    <t>Narain, Sashank; Sanatinia, Amirali; Noubir, Guevara</t>
  </si>
  <si>
    <t>Single-stroke language-agnostic keylogging using stereo-microphones and domain specific machine learning</t>
  </si>
  <si>
    <t>7th ACM Conference on Security &amp; Privacy in Wireless and Mobile Networks, WiSec'14, Oxford, United Kingdom, July 23-25, 2014</t>
  </si>
  <si>
    <t>10.1145/2627393.2627417</t>
  </si>
  <si>
    <t>https://doi.org/10.1145/2627393.2627417</t>
  </si>
  <si>
    <t>201–212</t>
  </si>
  <si>
    <t>Sujeeth, Arvind K.; Lee, HyoukJoong; Brown, Kevin J.; Rompf, Tiark; Chafi, Hassan; Wu, Michael; Atreya, Anand R.; Odersky, Martin; Olukotun, Kunle</t>
  </si>
  <si>
    <t>OptiML: An Implicitly Parallel Domain-Specific Language for Machine Learning</t>
  </si>
  <si>
    <t>Proceedings of the 28th International Conference on Machine Learning, ICML 2011, Bellevue, Washington, USA, June 28 - July 2, 2011</t>
  </si>
  <si>
    <t>https://icml.cc/2011/papers/373\_icmlpaper.pdf</t>
  </si>
  <si>
    <t>609–616</t>
  </si>
  <si>
    <t>Omnipress</t>
  </si>
  <si>
    <t>Zhao, Tian; Huang, Xiaobing</t>
  </si>
  <si>
    <t>Design and implementation of DeepDSL: A DSL for deep learning</t>
  </si>
  <si>
    <t>Comput. Lang. Syst. Struct.</t>
  </si>
  <si>
    <t>10.1016/j.cl.2018.04.004</t>
  </si>
  <si>
    <t>https://doi.org/10.1016/j.cl.2018.04.004</t>
  </si>
  <si>
    <t>39–70</t>
  </si>
  <si>
    <t>Agrawal, Akshay; Modi, Akshay Naresh; Passos, Alexandre; Lavoie, Allen; Agarwal, Ashish; Shankar, Asim; Ganichev, Igor; Levenberg, Josh; Hong, Mingsheng; Monga, Rajat; Cai, Shanqing</t>
  </si>
  <si>
    <t>TensorFlow Eager: A multi-stage, Python-embedded DSL for machine learning</t>
  </si>
  <si>
    <t>Proceedings of Machine Learning and Systems 2019, MLSys 2019, Stanford, CA, USA, March 31 - April 2, 2019</t>
  </si>
  <si>
    <t>https://proceedings.mlsys.org/book/286.pdf</t>
  </si>
  <si>
    <t>mlsys.org</t>
  </si>
  <si>
    <t>Larsen, Ken Friis</t>
  </si>
  <si>
    <t>A MuDDy Experience-ML Bindings to a BDD Library</t>
  </si>
  <si>
    <t>Domain-Specific Languages, IFIP TC 2 Working Conference, DSL 2009, Oxford, UK, July 15-17, 2009, Proceedings</t>
  </si>
  <si>
    <t>10.1007/978-3-642-03034-5_3</t>
  </si>
  <si>
    <t>https://doi.org/10.1007/978-3-642-03034-5\_3</t>
  </si>
  <si>
    <t>45–57</t>
  </si>
  <si>
    <t>Ries, Benoît; Guelfi, Nicolas; Jahic, Benjamin</t>
  </si>
  <si>
    <t>An MDE Method for Improving Deep Learning Dataset Requirements Engineering using Alloy and UML</t>
  </si>
  <si>
    <t>Proceedings of the 9th International Conference on Model-Driven Engineering and Software Development, MODELSWARD 2021, Online Streaming, February 8-10, 2021</t>
  </si>
  <si>
    <t>10.5220/0010216600410052</t>
  </si>
  <si>
    <t>https://doi.org/10.5220/0010216600410052</t>
  </si>
  <si>
    <t>41–52</t>
  </si>
  <si>
    <t>SCITEPRESS</t>
  </si>
  <si>
    <t>Combemale, Benoît</t>
  </si>
  <si>
    <t>Bringing Intelligence to Sociotechnical IoT Sytems</t>
  </si>
  <si>
    <t>Joint Proceedings of the Workshop on Model-Driven Engineering for the Internet of Things (MDE4IoT) &amp; of the Workshop on Interplay of Model-Driven and Component-Based Software Engineering (ModComp) Co-located with the IEEE/ACM 22nd International Conference on Model Driven Engineering Languages and Systems (MODELS 2019), Munich, Germany, September 15 and 17, 2019</t>
  </si>
  <si>
    <t>http://ceur-ws.org/Vol-2442/invited1.pdf</t>
  </si>
  <si>
    <t>Ghiasi, Ramin; Ghasemi, Mohammad Reza; Noori, Mohammad N.</t>
  </si>
  <si>
    <t>Comparative studies of metamodeling and AI-Based techniques in damage detection of structures</t>
  </si>
  <si>
    <t>Adv. Eng. Softw.</t>
  </si>
  <si>
    <t>10.1016/j.advengsoft.2018.02.006</t>
  </si>
  <si>
    <t>https://doi.org/10.1016/j.advengsoft.2018.02.006</t>
  </si>
  <si>
    <t>101–112</t>
  </si>
  <si>
    <t>Jean, Stéphane; Ameur, Yamine Aït; Pierra, Guy</t>
  </si>
  <si>
    <t>A Language for Ontology-Based Metamodeling Systems</t>
  </si>
  <si>
    <t>Advances in Databases and Information Systems - 14th East European Conference, ADBIS 2010, Novi Sad, Serbia, September 20-24, 2010. Proceedings</t>
  </si>
  <si>
    <t>10.1007/978-3-642-15576-5_20</t>
  </si>
  <si>
    <t>https://doi.org/10.1007/978-3-642-15576-5\_20</t>
  </si>
  <si>
    <t>247–261</t>
  </si>
  <si>
    <t>Kasinger, Holger; Bauer, Bernhard</t>
  </si>
  <si>
    <t>Towards a Model-Driven Software Engineering Methodology for Organic Computing Systems</t>
  </si>
  <si>
    <t>IASTED International Conference on Computational Intelligence, Calgary, Alberta, Canada, July 4-6, 2005</t>
  </si>
  <si>
    <t>141–146</t>
  </si>
  <si>
    <t>Moin, Armin</t>
  </si>
  <si>
    <t>Enabling Data Analytics and Machine Learning in Model-Driven Software Engineering of Smart IoT Services</t>
  </si>
  <si>
    <t>https://nbn-resolving.org/urn:nbn:de:bvb:91-diss-20220720-1660445-1-6</t>
  </si>
  <si>
    <t>Technical University of Munich, Germany</t>
  </si>
  <si>
    <t>Data Analytics and Machine Learning Methods, Techniques and Tool for Model-Driven Engineering of Smart IoT Services</t>
  </si>
  <si>
    <t>43rd IEEE/ACM International Conference on Software Engineering: Companion Proceedings, ICSE Companion 2021, Madrid, Spain, May 25-28, 2021</t>
  </si>
  <si>
    <t>10.1109/ICSE-Companion52605.2021.00130</t>
  </si>
  <si>
    <t>https://doi.org/10.1109/ICSE-Companion52605.2021.00130</t>
  </si>
  <si>
    <t>287–292</t>
  </si>
  <si>
    <t>Moin, Armin; Badii, Atta; Günnemann, Stephan</t>
  </si>
  <si>
    <t>A Model-Driven Engineering Approach to Machine Learning and Software Modeling</t>
  </si>
  <si>
    <t>https://arxiv.org/abs/2107.02689</t>
  </si>
  <si>
    <t>arXiv: 2107.02689</t>
  </si>
  <si>
    <t>Bikmukhametov, Timur; Jäschke, Johannes</t>
  </si>
  <si>
    <t>Combining machine learning and process engineering physics towards enhanced accuracy and explainability of data-driven models</t>
  </si>
  <si>
    <t>Comput. Chem. Eng.</t>
  </si>
  <si>
    <t>10.1016/j.compchemeng.2020.106834</t>
  </si>
  <si>
    <t>https://doi.org/10.1016/j.compchemeng.2020.106834</t>
  </si>
  <si>
    <t>106834</t>
  </si>
  <si>
    <t>Laurenzi, Emanuele; Hinkelmann, Knut; Jüngling, Stephan; Montecchiari, Devid; Pande, Charuta; Martin, Andreas</t>
  </si>
  <si>
    <t>Towards an Assistive and Pattern Learning-driven Process Modeling Approach</t>
  </si>
  <si>
    <t>Proceedings of the AAAI 2019 Spring Symposium on Combining Machine Learning with Knowledge Engineering (AAAI-MAKE 2019) Stanford University, Palo Alto, California, USA, March 25-27, 2019., Stanford University, Palo Alto, California, USA, March 25-27, 2019</t>
  </si>
  <si>
    <t>http://ceur-ws.org/Vol-2350/paper20.pdf</t>
  </si>
  <si>
    <t>Moin, Armin; Rössler, Stephan; Günnemann, Stephan</t>
  </si>
  <si>
    <t>ThingML+: Augmenting Model-Driven Software Engineering for the Internet of Things with Machine Learning</t>
  </si>
  <si>
    <t>Proceedings of MODELS 2018 Workshops: ModComp, MRT, OCL, FlexMDE, EXE, COMMitMDE, MDETools, GEMOC, MORSE, MDE4IoT, MDEbug, MoDeVVa, ME, MULTI, HuFaMo, AMMoRe, PAINS co-located with ACM/IEEE 21st International Conference on Model Driven Engineering Languages and Systems (MODELS 2018), Copenhagen, Denmark, October, 14, 2018</t>
  </si>
  <si>
    <t>http://ceur-ws.org/Vol-2245/mde4iot\_paper\_5.pdf</t>
  </si>
  <si>
    <t>521–523</t>
  </si>
  <si>
    <t>Moin, Armin; Mituca, Andrei; Badii, Atta; Günnemann, Stephan</t>
  </si>
  <si>
    <t>ML-Quadrat &amp; DriotData: A Model-Driven Engineering Tool and a Low-Code Platform for Smart IoT Services</t>
  </si>
  <si>
    <t>https://arxiv.org/abs/2107.02692</t>
  </si>
  <si>
    <t>arXiv: 2107.02692</t>
  </si>
  <si>
    <t>Kamath, Aishwarya; Singh, Mannat; LeCun, Yann; Synnaeve, Gabriel; Misra, Ishan; Carion, Nicolas</t>
  </si>
  <si>
    <t>MDETR - Modulated Detection for End-to-End Multi-Modal Understanding</t>
  </si>
  <si>
    <t>2021 IEEE/CVF International Conference on Computer Vision, ICCV 2021, Montreal, QC, Canada, October 10-17, 2021</t>
  </si>
  <si>
    <t>10.1109/ICCV48922.2021.00180</t>
  </si>
  <si>
    <t>https://doi.org/10.1109/ICCV48922.2021.00180</t>
  </si>
  <si>
    <t>1760–1770</t>
  </si>
  <si>
    <t>Priego, Rafael; Armentia, Aintzane; Estévez-Estévez, Elisabet; Marcos, Marga</t>
  </si>
  <si>
    <t>On applying MDE for generating reconfigurable automation systems</t>
  </si>
  <si>
    <t>13th IEEE International Conference on Industrial Informatics, INDIN 2015, Cambridge, United Kingdom, July 22-24, 2015</t>
  </si>
  <si>
    <t>10.1109/INDIN.2015.7281911</t>
  </si>
  <si>
    <t>https://doi.org/10.1109/INDIN.2015.7281911</t>
  </si>
  <si>
    <t>1233–1238</t>
  </si>
  <si>
    <t>Mrabti, Amin El; Pétrot, Frédéric; Bouchhima, Aimen</t>
  </si>
  <si>
    <t>Extending IP-XACT to support an MDE based approach for SoC design</t>
  </si>
  <si>
    <t>Design, Automation and Test in Europe, DATE 2009, Nice, France, April 20-24, 2009</t>
  </si>
  <si>
    <t>10.1109/DATE.2009.5090733</t>
  </si>
  <si>
    <t>https://doi.org/10.1109/DATE.2009.5090733</t>
  </si>
  <si>
    <t>586–589</t>
  </si>
  <si>
    <t>Fernández, Gloria García; Palacio, Daniel Zapico; Crespo, Rubén González; Tolosa, José Barranquero; Lovelle, Juan Manuel Cueva</t>
  </si>
  <si>
    <t>Automatic Device Driver Development through an Intelligent MDE Approach</t>
  </si>
  <si>
    <t>Proceedings of the 2009 International Conference on Artificial Intelligence, ICAI 2009, July 13-16, 2009, Las Vegas Nevada, USA, 2 Volumes</t>
  </si>
  <si>
    <t>864–870</t>
  </si>
  <si>
    <t>CSREA Press</t>
  </si>
  <si>
    <t>Fernández-Fernández, Héctor; Palacios-González, Elías; García-Díaz, Vicente; García-Bustelo, B. Cristina Pelayo; Lovelle, Juan Manuel Cueva</t>
  </si>
  <si>
    <t>Design of intelligent business applications based in BPM and MDE</t>
  </si>
  <si>
    <t>Proceedings of the 2008 International Conference on Artificial Intelligence, ICAI 2008, July 14-17, 2008, Las Vegas, Nevada, USA, 2 Volumes (includes the 2008 International Conference on Machine Learning; Models, Technologies and Applications)</t>
  </si>
  <si>
    <t>591–597</t>
  </si>
  <si>
    <t>Moin, Armin; Challenger, Moharram; Badii, Atta; Günnemann, Stephan</t>
  </si>
  <si>
    <t>Supporting AI Engineering on the IoT Edge through Model-Driven TinyML</t>
  </si>
  <si>
    <t>46th IEEE Annual Computers, Software, and Applications Conferenc, COMPSAC 2022, Los Alamitos, CA, USA, June 27 - July 1, 2022</t>
  </si>
  <si>
    <t>10.1109/COMPSAC54236.2022.00140</t>
  </si>
  <si>
    <t>https://doi.org/10.1109/COMPSAC54236.2022.00140</t>
  </si>
  <si>
    <t>884–893</t>
  </si>
  <si>
    <t>Towards Model-Driven Engineering for Quantum AI</t>
  </si>
  <si>
    <t>52. Jahrestagung der Gesellschaft für Informatik, INFORMATIK 2022, Informatik in den Naturwissenschaften, 26. - 30. September 2022, Hamburg</t>
  </si>
  <si>
    <t>10.18420/inf2022_95</t>
  </si>
  <si>
    <t>https://doi.org/10.18420/inf2022\_95</t>
  </si>
  <si>
    <t>1121–1131</t>
  </si>
  <si>
    <t>Gesellschaft für Informatik, Bonn</t>
  </si>
  <si>
    <t>Iyenghar, Padma; Otte, Friedrich; Pulvermüller, Elke</t>
  </si>
  <si>
    <t>AI-guided Model-Driven Embedded Software Engineering</t>
  </si>
  <si>
    <t>Proceedings of the 10th International Conference on Model-Driven Engineering and Software Development, MODELSWARD 2022, Online Streaming, February 6-8, 2022</t>
  </si>
  <si>
    <t>10.5220/0011006200003119</t>
  </si>
  <si>
    <t>https://doi.org/10.5220/0011006200003119</t>
  </si>
  <si>
    <t>395–404</t>
  </si>
  <si>
    <t>Hsain, Yassine Ait; Laaz, Naziha; Mbarki, Samir</t>
  </si>
  <si>
    <t>Ethereum's Smart Contracts Construction and Development using Model Driven Engineering Technologies: a Review</t>
  </si>
  <si>
    <t>The 12th International Conference on Ambient Systems, Networks and Technologies (ANT 2021) / The 4th International Conference on Emerging Data and Industry 4.0 (EDI40 2021) / Affiliated Workshops, March 23-26, 2021, Warsaw, Poland</t>
  </si>
  <si>
    <t>10.1016/j.procs.2021.03.097</t>
  </si>
  <si>
    <t>https://doi.org/10.1016/j.procs.2021.03.097</t>
  </si>
  <si>
    <t>785–790</t>
  </si>
  <si>
    <t>Elsevier</t>
  </si>
  <si>
    <t>Fattouch, Najla; Rekik, Mouna; Wakrime, Abderrahim Ait; Boukadi, Khouloud</t>
  </si>
  <si>
    <t>A Model-Driven Engineering Approach for Business Process Based SaaS Services Composition</t>
  </si>
  <si>
    <t>16th IEEE/ACS International Conference on Computer Systems and Applications, AICCSA 2019, Abu Dhabi, UAE, November 3-7, 2019</t>
  </si>
  <si>
    <t>10.1109/AICCSA47632.2019.9035348</t>
  </si>
  <si>
    <t>https://doi.org/10.1109/AICCSA47632.2019.9035348</t>
  </si>
  <si>
    <t>1–8</t>
  </si>
  <si>
    <t>Iglesias-Urkia, Markel; Gómez, Abel; Casado-Mansilla, Diego; Urbieta, Aitor</t>
  </si>
  <si>
    <t>Enabling easy Web of Things compatible device generation using a Model-Driven Engineering approach</t>
  </si>
  <si>
    <t>Proceedings of the 9th International Conference on the Internet of Things, IoT 2019, Bilbao, Spain, October 22-25, 2019</t>
  </si>
  <si>
    <t>10.1145/3365871.3365898</t>
  </si>
  <si>
    <t>https://doi.org/10.1145/3365871.3365898</t>
  </si>
  <si>
    <t>25:1–25:8</t>
  </si>
  <si>
    <t>Song, Hui; Raj, Amit; Hajebi, Saeed; Clarke, Siobhán; Clarke, Aidan</t>
  </si>
  <si>
    <t>Model Driven Engineering of Cross-Layer Monitoring and Adaptation</t>
  </si>
  <si>
    <t>MODELSWARD 2013 - Proceedings of the 1st International Conference on Model-Driven Engineering and Software Development, Barcelona, Spain, 19 - 21 February, 2013</t>
  </si>
  <si>
    <t>10.5220/0004375203310340</t>
  </si>
  <si>
    <t>https://doi.org/10.5220/0004375203310340</t>
  </si>
  <si>
    <t>331–340</t>
  </si>
  <si>
    <t>Armentia, Aintzane; Sarachaga, Isabel; Albéniz, Oier García de; Estévez-Estévez, Elisabet; Aguirre, Aitor; Marcos, Margarita</t>
  </si>
  <si>
    <t>Achieving reconfigurable service oriented applications using Model Driven Engineering</t>
  </si>
  <si>
    <t>IEEE 16th Conference on Emerging Technologies &amp; Factory Automation, ETFA 2011, Toulouse, France, September 5-9, 2011</t>
  </si>
  <si>
    <t>10.1109/ETFA.2011.6059192</t>
  </si>
  <si>
    <t>https://doi.org/10.1109/ETFA.2011.6059192</t>
  </si>
  <si>
    <t>1–4</t>
  </si>
  <si>
    <t>Parham-Mocello, Jennifer; Nelson, Aiden; Erwig, Martin</t>
  </si>
  <si>
    <t>Exploring the Use of Games and a Domain-Specific Teaching Language in CS0</t>
  </si>
  <si>
    <t>ITiCSE 2022: Innovation and Technology in Computer Science Education, Dublin, Ireland, July 8 - 13, 2022, Volume 1</t>
  </si>
  <si>
    <t>10.1145/3502718.3524812</t>
  </si>
  <si>
    <t>https://doi.org/10.1145/3502718.3524812</t>
  </si>
  <si>
    <t>351–357</t>
  </si>
  <si>
    <t>Carrino, Casimiro Pio; Armengol-Estapé, Jordi; Gutiérrez-Fandiño, Asier; Llop-Palao, Joan; Pàmies, Marc; Gonzalez-Agirre, Aitor; Villegas, Marta</t>
  </si>
  <si>
    <t>Biomedical and Clinical Language Models for Spanish: On the Benefits of Domain-Specific Pretraining in a Mid-Resource Scenario</t>
  </si>
  <si>
    <t>https://arxiv.org/abs/2109.03570</t>
  </si>
  <si>
    <t>arXiv: 2109.03570</t>
  </si>
  <si>
    <t>Badouel, Éric; Djatcha, Rodrigue Aimé Djeumen</t>
  </si>
  <si>
    <t>Modular Design of Domain-Specific Languages Using Splittings of Catamorphisms</t>
  </si>
  <si>
    <t>Theoretical Aspects of Computing - ICTAC 2018 - 15th International Colloquium, Stellenbosch, South Africa, October 16-19, 2018, Proceedings</t>
  </si>
  <si>
    <t>10.1007/978-3-030-02508-3_4</t>
  </si>
  <si>
    <t>https://doi.org/10.1007/978-3-030-02508-3\_4</t>
  </si>
  <si>
    <t>62–79</t>
  </si>
  <si>
    <t>Aish, Robert; Mendoza, Emmanuel</t>
  </si>
  <si>
    <t>DesignScript: a domain specific language for architectural computing</t>
  </si>
  <si>
    <t>Proceedings of the International Workshop on Domain-Specific Modeling, DSM@SPLASH 2016, Amsterdam, Netherlands, October 30, 2016</t>
  </si>
  <si>
    <t>10.1145/3023147.3023150</t>
  </si>
  <si>
    <t>https://doi.org/10.1145/3023147.3023150</t>
  </si>
  <si>
    <t>15–21</t>
  </si>
  <si>
    <t>Binder, Walter; Moret, Philippe; Ansaloni, Danilo; Sarimbekov, Aibek; Yokokawa, Akira; Tanter, Éric</t>
  </si>
  <si>
    <t>Towards a domain-specific aspect language for dynamic program analysis: position paper</t>
  </si>
  <si>
    <t>Proceedings of the sixth annual workshop on Domain-specific aspect languages, DSAL '11, Porto de Galinhas, Brazil, March 21, 2011</t>
  </si>
  <si>
    <t>10.1145/1960496.1960500</t>
  </si>
  <si>
    <t>https://doi.org/10.1145/1960496.1960500</t>
  </si>
  <si>
    <t>9–11</t>
  </si>
  <si>
    <t>DeVito, Zach; Joubert, Niels; Palacios, Francisco; Oakley, Stephen; Medina, Montserrat; Barrientos, Mike; Elsen, Erich; Ham, Frank; Aiken, Alex; Duraisamy, Karthik; Darve, Eric; Alonso, Juan J.; Hanrahan, Pat</t>
  </si>
  <si>
    <t>Liszt: a domain specific language for building portable mesh-based PDE solvers</t>
  </si>
  <si>
    <t>Conference on High Performance Computing Networking, Storage and Analysis, SC 2011, Seattle, WA, USA, November 12-18, 2011</t>
  </si>
  <si>
    <t>10.1145/2063384.2063396</t>
  </si>
  <si>
    <t>https://doi.org/10.1145/2063384.2063396</t>
  </si>
  <si>
    <t>9:1–9:12</t>
  </si>
  <si>
    <t>Papakonstantinou, N.; Hale, B.; ...</t>
  </si>
  <si>
    <t>Model Driven Engineering for Resilience of Systems with Black Box and AI-based Components</t>
  </si>
  <si>
    <t>2022 Annual …</t>
  </si>
  <si>
    <t>https://ieeexplore.ieee.org/abstract/document/9893930/</t>
  </si>
  <si>
    <t>Publisher: ieeexplore.ieee.org</t>
  </si>
  <si>
    <t>Moin, A.; Wattanavaekin, U.; Lungu, A.; ...</t>
  </si>
  <si>
    <t>Enabling Automated Machine Learning for Model-Driven AI Engineering</t>
  </si>
  <si>
    <t>arXiv preprint arXiv …</t>
  </si>
  <si>
    <t>https://arxiv.org/abs/2203.02927</t>
  </si>
  <si>
    <t>Publisher: arxiv.org</t>
  </si>
  <si>
    <t>Bonati, A.; Costa, B.; Vannucchi, G.</t>
  </si>
  <si>
    <t>DSL: una famiglia di sistemi trasmissivi per l'accesso ai servizi a banda larga</t>
  </si>
  <si>
    <t>http://www.vermi.it/doc/tecnologie-dsl.pdf</t>
  </si>
  <si>
    <t>vermi.it</t>
  </si>
  <si>
    <t>Type: PDF</t>
  </si>
  <si>
    <t>Brynjulfsen, H.</t>
  </si>
  <si>
    <t>XAI Text: A Domain-Specific Language for Developing an AI Pipeline</t>
  </si>
  <si>
    <t>https://bora.uib.no/bora-xmlui/bitstream/handle/11250/2762432/Master_Thesis_H_vard_Brynjulfsen-11-.pdf?sequence=1</t>
  </si>
  <si>
    <t>bora.uib.no</t>
  </si>
  <si>
    <t>Vikram, A.</t>
  </si>
  <si>
    <t>Designing an AI-driven System at Scale for Detection of Abusive Head Trauma using Domain Modeling</t>
  </si>
  <si>
    <t>https://search.proquest.com/openview/ae8cff26a41ad1e8990e19f5b26f1e3b/1?pq-origsite=gscholar\&amp;cbl=18750\&amp;diss=y</t>
  </si>
  <si>
    <t>search.proquest.com</t>
  </si>
  <si>
    <t>Burgueño, L.; Burdusel, A.; Gérard, S.; ...</t>
  </si>
  <si>
    <t>Preface to MDE Intelligence 2019: 1st Workshop on Artificial Intelligence and Model-Driven Engineering</t>
  </si>
  <si>
    <t>2019 ACM/IEEE 22nd …</t>
  </si>
  <si>
    <t>https://ieeexplore.ieee.org/abstract/document/8904820/</t>
  </si>
  <si>
    <t>Moin, A.; Challenger, M.; Badii, A.; ...</t>
  </si>
  <si>
    <t>Mde4qai: Towards model-driven engineering for quantum artificial intelligence</t>
  </si>
  <si>
    <t>https://arxiv.org/abs/2107.06708</t>
  </si>
  <si>
    <t>Rajasekar, N.</t>
  </si>
  <si>
    <t>Improving the usability of the domain-specific language editors using artificial intelligence</t>
  </si>
  <si>
    <t>pure.tue.nl</t>
  </si>
  <si>
    <t>https://pure.tue.nl/ws/portalfiles/portal/176079711/Rajasekar_N..pdf</t>
  </si>
  <si>
    <t>Calleja, A.; Pace, G. J.</t>
  </si>
  <si>
    <t>A domain-specific embedded language approach for the scripting of game artificial intelligence</t>
  </si>
  <si>
    <t>https://www.um.edu.mt/library/oar/handle/123456789/27604</t>
  </si>
  <si>
    <t>um.edu.mt</t>
  </si>
  <si>
    <t>Restrepo-Montoya, D.; Alvarez-Montoya, J.; ...</t>
  </si>
  <si>
    <t>Artificial Intelligence Metamodeling Approach to Design Smart Composite Laminates with Bend-Twist Coupling</t>
  </si>
  <si>
    <t>2019 IEEE 2nd …</t>
  </si>
  <si>
    <t>https://ieeexplore.ieee.org/abstract/document/9025137/</t>
  </si>
  <si>
    <t>Budde, K.; Helms, T.; Haack, F.; Uhrmacher, A. M.</t>
  </si>
  <si>
    <t>Modeling long-range Wnt signaling with the domain-specific language ML-Rules</t>
  </si>
  <si>
    <t>http://eprints.mosi.informatik.uni-rostock.de/554/</t>
  </si>
  <si>
    <t>eprints.mosi.informatik.uni-rostock …</t>
  </si>
  <si>
    <t>Breuker, D.</t>
  </si>
  <si>
    <t>Towards Model-Driven Engineering for Big Data Analytics–An Exploratory Analysis of Domain-Specific Languages for Machine Learning</t>
  </si>
  <si>
    <t>2014 47th Hawaii International Conference on …</t>
  </si>
  <si>
    <t>https://ieeexplore.ieee.org/abstract/document/6758697/</t>
  </si>
  <si>
    <t>Moin, A.; Rössler, S.; Günnemann, S.</t>
  </si>
  <si>
    <t>ThingML+ Augmenting Model-Driven Software Engineering for the Internet of Things with Machine Learning</t>
  </si>
  <si>
    <t>arXiv preprint arXiv:2009.10633</t>
  </si>
  <si>
    <t>https://arxiv.org/abs/2009.10633</t>
  </si>
  <si>
    <t>Tsopgny, N. G. N.; Nguélé, T. M.; Kouakam, E.</t>
  </si>
  <si>
    <t>DSL for parallelizing Machine Learning algorithms on multicore architecture</t>
  </si>
  <si>
    <t>https://hal.archives-ouvertes.fr/hal-03727658/</t>
  </si>
  <si>
    <t>hal.archives-ouvertes.fr</t>
  </si>
  <si>
    <t>Sakun, N. L.; Abidin, Z. Z.; ...</t>
  </si>
  <si>
    <t>Cable Fault Detection in DSL Communication System-based on Machine Learning</t>
  </si>
  <si>
    <t>Evolution in Electrical and …</t>
  </si>
  <si>
    <t>https://penerbit.uthm.edu.my/periodicals/index.php/eeee/article/view/1723</t>
  </si>
  <si>
    <t>Publisher: penerbit.uthm.edu.my</t>
  </si>
  <si>
    <t>Giner-Miguelez, J.; Gómez, A.; Cabot, J.</t>
  </si>
  <si>
    <t>A domain-specific language for describing machine learning dataset</t>
  </si>
  <si>
    <t>arXiv preprint arXiv:2207.02848</t>
  </si>
  <si>
    <t>https://arxiv.org/abs/2207.02848</t>
  </si>
  <si>
    <t>Siegmund, I. N.; Stein, B.</t>
  </si>
  <si>
    <t>DEVELOPING A DOMAIN SPECIFIC LANGUAGE FOR THE EVOLVING FIELD OF MACHINE LEARNING</t>
  </si>
  <si>
    <t>uni-weimar.de</t>
  </si>
  <si>
    <t>https://www.uni-weimar.de/fileadmin/user/fak/medien/professuren/Intelligente_Softwaresysteme/Theses/thesis_solbach.pdf</t>
  </si>
  <si>
    <t>Jha, S.</t>
  </si>
  <si>
    <t>Learning Domain Specific Language Models for Automatic Speech Recognition through Machine Translation</t>
  </si>
  <si>
    <t>arXiv preprint arXiv:2110.10261</t>
  </si>
  <si>
    <t>https://arxiv.org/abs/2110.10261</t>
  </si>
  <si>
    <t>Wang, J.; Li, T.; Cui, F.; Hui, C. Y.; Yeo, J.; ...</t>
  </si>
  <si>
    <t>Metamodeling of constitutive model using Gaussian process machine learning</t>
  </si>
  <si>
    <t>Journal of the Mechanics …</t>
  </si>
  <si>
    <t>https://www.sciencedirect.com/science/article/pii/S0022509621001939</t>
  </si>
  <si>
    <t>Publisher: Elsevier</t>
  </si>
  <si>
    <t>McCandlish, J. A.; Ayer, T.; ...</t>
  </si>
  <si>
    <t>Cost-Effectiveness and Value-of-Information Analysis Using Machine Learning–Based Metamodeling: A Case of Hepatitis C Treatment</t>
  </si>
  <si>
    <t>Medical Decision …</t>
  </si>
  <si>
    <t>10.1177/0272989X221125418</t>
  </si>
  <si>
    <t>https://journals.sagepub.com/doi/abs/10.1177/0272989X221125418</t>
  </si>
  <si>
    <t>Publisher: journals.sagepub.com</t>
  </si>
  <si>
    <t>Dada, A.; Laboure, E.; Bensetti, M.; Yang, X.; ...</t>
  </si>
  <si>
    <t>Machine Learning Metamodeling of Harmonic Sources in LV Distribution Networks</t>
  </si>
  <si>
    <t>… on Harmonics &amp; …</t>
  </si>
  <si>
    <t>https://ieeexplore.ieee.org/abstract/document/9808537/</t>
  </si>
  <si>
    <t>Lupera, G.; Shokry, A.; Kopanos, G. M.; Espuña, A.</t>
  </si>
  <si>
    <t>Mixed-integer multiparametric Metamodeling: A machine learning tool applied to reactive scheduling</t>
  </si>
  <si>
    <t>Computer Aided Chemical …</t>
  </si>
  <si>
    <t>https://www.sciencedirect.com/science/article/pii/B9780444642356500309</t>
  </si>
  <si>
    <t>Celms, E.; Barzdins, J.; Kalnins, A.; Barzdins, P.; ...</t>
  </si>
  <si>
    <t>DSL approach to deep Learning lifecycle data management</t>
  </si>
  <si>
    <t>Baltic Journal of …</t>
  </si>
  <si>
    <t>https://www.bjmc.lu.lv/fileadmin/user_upload/lu_portal/projekti/bjmc/Contents/8_4_09_Celms1.pdf</t>
  </si>
  <si>
    <t>Publisher: bjmc.lu.lv Type: PDF</t>
  </si>
  <si>
    <t>Caldas, E.; Tachon, T.; Zhang, Z.; Li, C.; Hains, G.</t>
  </si>
  <si>
    <t>HTL: A tensor-centered DSL for deep learning</t>
  </si>
  <si>
    <t>researchgate.net</t>
  </si>
  <si>
    <t>https://www.researchgate.net/profile/Gaetan-Hains/publication/360167959_HTL_A_tensor-centered_DSL_for_deep_learning/links/62667cab8cb84a40ac893f3c/HTL-A-tensor-centered-DSL-for-deep-learning.pdf</t>
  </si>
  <si>
    <t>Cao, Y.; Wang, Y.; Peng, J.; Zhang, L.</t>
  </si>
  <si>
    <t>DSL-BC: Deep Subspace Learning with Boundary Consistency for Hyperspectral Image Classification</t>
  </si>
  <si>
    <t>IEEE Transactions on …</t>
  </si>
  <si>
    <t>https://ieeexplore.ieee.org/abstract/document/9780138/</t>
  </si>
  <si>
    <t>Huang, X. B.</t>
  </si>
  <si>
    <t>Design and Implementation of a Domain Specific Language for Deep Learning</t>
  </si>
  <si>
    <t>https://search.proquest.com/openview/b0b6c05e1cb0c18550edf3c202ac82d0/1?pq-origsite=gscholar\&amp;cbl=18750</t>
  </si>
  <si>
    <t>Kundu, A.; Chakraborty, S.</t>
  </si>
  <si>
    <t>Deep learning-based metamodeling technique for nonlinear seismic response quantification</t>
  </si>
  <si>
    <t>IOP Conference Series: Materials …</t>
  </si>
  <si>
    <t>10.1088/1757-899X/936/1/012042</t>
  </si>
  <si>
    <t>https://iopscience.iop.org/article/10.1088/1757-899X/936/1/012042/meta</t>
  </si>
  <si>
    <t>Publisher: iopscience.iop.org</t>
  </si>
  <si>
    <t>Li, B.; Spence, S. M. J.</t>
  </si>
  <si>
    <t>Metamodeling through Deep Learning of High-Dimensional Dynamic Nonlinear Systems Driven by General Stochastic Excitation</t>
  </si>
  <si>
    <t>Journal of Structural Engineering</t>
  </si>
  <si>
    <t>10.1061/%28ASCE%29ST.1943-541X.0003499</t>
  </si>
  <si>
    <t>https://ascelibrary.org/doi/abs/10.1061/%28ASCE%29ST.1943-541X.0003499</t>
  </si>
  <si>
    <t>Publisher: ascelibrary.org</t>
  </si>
  <si>
    <t>Rammer, W.; Seidl, R.</t>
  </si>
  <si>
    <t>Scaling vegetation dynamics: a metamodeling approach based on deep learning</t>
  </si>
  <si>
    <t>https://scholarsarchive.byu.edu/iemssconference/2018/Stream-A/35/</t>
  </si>
  <si>
    <t>scholarsarchive.byu.edu</t>
  </si>
  <si>
    <t>Cao, W.; Li, Q.; Zhang, J.; Zhang, W.</t>
  </si>
  <si>
    <t>Accelerating 2D and 3D frequency-domain seismic wave modeling through interpolating frequency-domain wavefields by deep learning</t>
  </si>
  <si>
    <t>Geophysics</t>
  </si>
  <si>
    <t>10.1190/geo2021-0435.1</t>
  </si>
  <si>
    <t>https://library.seg.org/doi/abs/10.1190/geo2021-0435.1</t>
  </si>
  <si>
    <t>Publisher: library.seg.org</t>
  </si>
  <si>
    <t>Koziel, S.; Çalık, N.; Mahouti, P.; ...</t>
  </si>
  <si>
    <t>Low-Cost and Highly-Accurate Behavioral Modeling of Antenna Structures by Means of Knowledge-Based Domain-Constrained Deep Learning Surrogates</t>
  </si>
  <si>
    <t>https://ieeexplore.ieee.org/abstract/document/9930873/</t>
  </si>
  <si>
    <t>Kessentini, M.</t>
  </si>
  <si>
    <t>A Tutorial on Software Engineering Intelligence: Case Studies on Model-Driven Engineering</t>
  </si>
  <si>
    <t>https://deepblue.lib.umich.edu/bitstream/handle/2027.42/153783/MODELS_Tutorial__SEI___Copy_.pdf?sequence=1</t>
  </si>
  <si>
    <t>deepblue.lib.umich.edu</t>
  </si>
  <si>
    <t>Fliege, I.; Geraldy, A.; Gotzhein, R.; Kuhn, T.; Webel, C.</t>
  </si>
  <si>
    <t>Model-Driven Engineering of Ambient Intelligence Systems with SDL: Design, Implementation, and Performance Simulation</t>
  </si>
  <si>
    <t>vs.cs.uni-kl.de</t>
  </si>
  <si>
    <t>https://vs.cs.uni-kl.de/publications/2005/FlGeGoKuWe05/TR_MdaAmi.pdf</t>
  </si>
  <si>
    <t>Grech, J. P.</t>
  </si>
  <si>
    <t>A DSL for business intelligence monitoring</t>
  </si>
  <si>
    <t>https://www.um.edu.mt/library/oar/handle/123456789/91375</t>
  </si>
  <si>
    <t>Wunck, C.</t>
  </si>
  <si>
    <t>„Implementation of Mobile Event Monitoring Agents for Manufacturing Execution and Intelligence Systems Using a Domain Specific Language,“</t>
  </si>
  <si>
    <t>Proceedings of the 2016 IEOM Conference</t>
  </si>
  <si>
    <t>http://ieomsociety.org/ieom_2016/pdfs/96.pdf</t>
  </si>
  <si>
    <t>Publisher: ieomsociety.org Type: PDF</t>
  </si>
  <si>
    <t>Khawli, T. Al</t>
  </si>
  <si>
    <t>A metamodeling approach towards virtual production intelligence</t>
  </si>
  <si>
    <t>https://core.ac.uk/download/pdf/36658070.pdf</t>
  </si>
  <si>
    <t>core.ac.uk</t>
  </si>
  <si>
    <t>Type: BOOK</t>
  </si>
  <si>
    <t>HMQVEDXS</t>
  </si>
  <si>
    <t>E77DCQEB</t>
  </si>
  <si>
    <t>QGZZF9WA</t>
  </si>
  <si>
    <t>YT9ZH6FN</t>
  </si>
  <si>
    <t>UCWWRPIQ</t>
  </si>
  <si>
    <t>4CNVU46V</t>
  </si>
  <si>
    <t>BQTIAXTW</t>
  </si>
  <si>
    <t>R9ALKAH3</t>
  </si>
  <si>
    <t>AVGA8TJW</t>
  </si>
  <si>
    <t>8JWXJ9MR</t>
  </si>
  <si>
    <t>9CZS2DHE</t>
  </si>
  <si>
    <t>S5YT28FU</t>
  </si>
  <si>
    <t>SLULQZRF</t>
  </si>
  <si>
    <t>UJPER7V8</t>
  </si>
  <si>
    <t>ML8SU2WM</t>
  </si>
  <si>
    <t>TQWM56I7</t>
  </si>
  <si>
    <t>JF5DSIJC</t>
  </si>
  <si>
    <t>9ZMBHJKG</t>
  </si>
  <si>
    <t>E6D8928P</t>
  </si>
  <si>
    <t>BR4CTUVB</t>
  </si>
  <si>
    <t>XQ6GQKI8</t>
  </si>
  <si>
    <t>YLV8SHZL</t>
  </si>
  <si>
    <t>ABGKVTQA</t>
  </si>
  <si>
    <t>LB3SJLXI</t>
  </si>
  <si>
    <t>KP52PSST</t>
  </si>
  <si>
    <t>JBMA4S6J</t>
  </si>
  <si>
    <t>UTW7BDIK</t>
  </si>
  <si>
    <t>3QB88ANK</t>
  </si>
  <si>
    <t>7SMEDRAN</t>
  </si>
  <si>
    <t>8W7BSBQX</t>
  </si>
  <si>
    <t>LD7J8SB2</t>
  </si>
  <si>
    <t>52G4KASW</t>
  </si>
  <si>
    <t>HNLKTP5J</t>
  </si>
  <si>
    <t>7Q4Y2I46</t>
  </si>
  <si>
    <t>MPTKPIZW</t>
  </si>
  <si>
    <t>KGVRCW7T</t>
  </si>
  <si>
    <t>UFCR5M3Q</t>
  </si>
  <si>
    <t>RQ</t>
  </si>
  <si>
    <t>Concern</t>
  </si>
  <si>
    <t>Meta-Models</t>
  </si>
  <si>
    <t>Concrete Syntax</t>
  </si>
  <si>
    <t>Abstract Syntax</t>
  </si>
  <si>
    <t>Arbitrary Constraints</t>
  </si>
  <si>
    <t>Model Transformation</t>
  </si>
  <si>
    <t>RQ2, RQ5</t>
  </si>
  <si>
    <t>Requirements Modeling</t>
  </si>
  <si>
    <t>Business Understanding</t>
  </si>
  <si>
    <t>Data Understanding</t>
  </si>
  <si>
    <t>Data Ingestion</t>
  </si>
  <si>
    <t>Feature Preparation</t>
  </si>
  <si>
    <t>Model Training</t>
  </si>
  <si>
    <t>Metrics/Evaluation</t>
  </si>
  <si>
    <t>Others</t>
  </si>
  <si>
    <t>Journal Abbreviation</t>
  </si>
  <si>
    <t>Short Title</t>
  </si>
  <si>
    <t>Language</t>
  </si>
  <si>
    <t>Library Catalog</t>
  </si>
  <si>
    <t>Editor</t>
  </si>
  <si>
    <t>Series Editor</t>
  </si>
  <si>
    <t>NGEXAYY3</t>
  </si>
  <si>
    <t>48</t>
  </si>
  <si>
    <t>Appl Intell</t>
  </si>
  <si>
    <t>en</t>
  </si>
  <si>
    <t>DOI.org (Crossref)</t>
  </si>
  <si>
    <t>W3X5ABDE</t>
  </si>
  <si>
    <t>733</t>
  </si>
  <si>
    <t>SIPE</t>
  </si>
  <si>
    <t>Kosiuczenko, Piotr; Madeyski, Lech</t>
  </si>
  <si>
    <t>6BTFNFLU</t>
  </si>
  <si>
    <t>94</t>
  </si>
  <si>
    <t>Int J Adv Manuf Technol</t>
  </si>
  <si>
    <t>7VKPKRGN</t>
  </si>
  <si>
    <t>6472</t>
  </si>
  <si>
    <t>Design Abstraction and Processes in Robotics</t>
  </si>
  <si>
    <t>Ando, Noriaki; Balakirsky, Stephen; Hemker, Thomas; Reggiani, Monica; von Stryk, Oskar</t>
  </si>
  <si>
    <t>Q42UQ55J</t>
  </si>
  <si>
    <t>59</t>
  </si>
  <si>
    <t>Struct Multidisc Optim</t>
  </si>
  <si>
    <t>ZYBDV3MN</t>
  </si>
  <si>
    <t>21</t>
  </si>
  <si>
    <t>Softw Syst Model</t>
  </si>
  <si>
    <t>Low-code development and model-driven engineering</t>
  </si>
  <si>
    <t>72LMJHKT</t>
  </si>
  <si>
    <t>9761</t>
  </si>
  <si>
    <t>Complexity is the Only Constant</t>
  </si>
  <si>
    <t>Echahed, Rachid; Minas, Mark</t>
  </si>
  <si>
    <t>JNMMFHBV</t>
  </si>
  <si>
    <t>39</t>
  </si>
  <si>
    <t>NUQXM7FE</t>
  </si>
  <si>
    <t>NG-meta-profiler</t>
  </si>
  <si>
    <t>JNNBIKDB</t>
  </si>
  <si>
    <t>2738</t>
  </si>
  <si>
    <t>Bauknecht, Kurt; Tjoa, A Min; Quirchmayr, Gerald</t>
  </si>
  <si>
    <t>Goos, Gerhard; Hartmanis, Juris; van Leeuwen, Jan</t>
  </si>
  <si>
    <t>A89323UM</t>
  </si>
  <si>
    <t>50</t>
  </si>
  <si>
    <t>Supporting Layered Architecture Specifications</t>
  </si>
  <si>
    <t>Bider, Ilia; Halpin, Terry; Krogstie, John; Nurcan, Selmin; Proper, Erik; Schmidt, Rainer; Ukor, Roland</t>
  </si>
  <si>
    <t>van der Aalst, Will; Mylopoulos, John; Sadeh, Norman M.; Shaw, Michael J.; Szyperski, Clemens</t>
  </si>
  <si>
    <t>W5698GQL</t>
  </si>
  <si>
    <t>151</t>
  </si>
  <si>
    <t>Harmsen, Frank; Proper, Henderik A.</t>
  </si>
  <si>
    <t>van der Aalst, Wil; Mylopoulos, John; Rosemann, Michael; Shaw, Michael J.; Szyperski, Clemens</t>
  </si>
  <si>
    <t>6D2F4NLY</t>
  </si>
  <si>
    <t>SOCA</t>
  </si>
  <si>
    <t>UQ2VR6UN</t>
  </si>
  <si>
    <t>UHWHUK72</t>
  </si>
  <si>
    <t>44</t>
  </si>
  <si>
    <t>J Braz. Soc. Mech. Sci. Eng.</t>
  </si>
  <si>
    <t>PYVP2CUA</t>
  </si>
  <si>
    <t>181</t>
  </si>
  <si>
    <t>Zain, Jasni Mohamad; Wan Mohd, Wan Maseri bt; El-Qawasmeh, Eyas</t>
  </si>
  <si>
    <t>R57L47XX</t>
  </si>
  <si>
    <t>11479</t>
  </si>
  <si>
    <t>Schoeberl, Martin; Hochberger, Christian; Uhrig, Sascha; Brehm, Jürgen; Pionteck, Thilo</t>
  </si>
  <si>
    <t>SGYHCIG2</t>
  </si>
  <si>
    <t>25</t>
  </si>
  <si>
    <t>Empir Software Eng</t>
  </si>
  <si>
    <t>UVS2JJGV</t>
  </si>
  <si>
    <t>27</t>
  </si>
  <si>
    <t>VB46JCXX</t>
  </si>
  <si>
    <t>3844</t>
  </si>
  <si>
    <t>Bruel, Jean-Michel</t>
  </si>
  <si>
    <t>Hutchison, David; Kanade, Takeo; Kittler, Josef; Kleinberg, Jon M.; Mattern, Friedemann; Mitchell, John C.; Naor, Moni; Nierstrasz, Oscar; Pandu Rangan, C.; Steffen, Bernhard; Sudan, Madhu; Terzopoulos, Demetri; Tygar, Dough; Vardi, Moshe Y.; Weikum, Gerhard</t>
  </si>
  <si>
    <t>AQ93UTSA</t>
  </si>
  <si>
    <t>57</t>
  </si>
  <si>
    <t>ID7RRDT3</t>
  </si>
  <si>
    <t>Filipe, Joaquim; Shishkov, Boris; Helfert, Markus</t>
  </si>
  <si>
    <t>EYFZC2SV</t>
  </si>
  <si>
    <t>2830</t>
  </si>
  <si>
    <t>Hume</t>
  </si>
  <si>
    <t>Pfenning, Frank; Smaragdakis, Yannis</t>
  </si>
  <si>
    <t>KRQA9EYE</t>
  </si>
  <si>
    <t>7313</t>
  </si>
  <si>
    <t>Noble, James</t>
  </si>
  <si>
    <t>Hutchison, David; Kanade, Takeo; Kittler, Josef; Kleinberg, Jon M.; Mattern, Friedemann; Mitchell, John C.; Naor, Moni; Nierstrasz, Oscar; Pandu Rangan, C.; Steffen, Bernhard; Sudan, Madhu; Terzopoulos, Demetri; Tygar, Doug; Vardi, Moshe Y.; Weikum, Gerhard</t>
  </si>
  <si>
    <t>2G5FLEFB</t>
  </si>
  <si>
    <t>K4YLN5WI</t>
  </si>
  <si>
    <t>Brain Topogr</t>
  </si>
  <si>
    <t>XKN8WT8E</t>
  </si>
  <si>
    <t>15</t>
  </si>
  <si>
    <t>J Econ Interact Coord</t>
  </si>
  <si>
    <t>W99X6BAS</t>
  </si>
  <si>
    <t>978-3-030-44183-8 978-3-030-44184-5</t>
  </si>
  <si>
    <t>https://link.springer.com/10.1007/978-3-030-44184-5_140</t>
  </si>
  <si>
    <t>1367-1379</t>
  </si>
  <si>
    <t>DOI: 10.1007/978-3-030-44184-5_140</t>
  </si>
  <si>
    <t>Baillieul, John; Samad, Tariq</t>
  </si>
  <si>
    <t>LM8B7RYV</t>
  </si>
  <si>
    <t>Probiotics &amp; Antimicro. Prot.</t>
  </si>
  <si>
    <t>Bifidobacterium adolescentis (DSM 20083) and Lactobacillus casei (Lafti L26-DSL)</t>
  </si>
  <si>
    <t>BYFGLPEU</t>
  </si>
  <si>
    <t>24</t>
  </si>
  <si>
    <t>Software Qual J</t>
  </si>
  <si>
    <t>D5KCLPHS</t>
  </si>
  <si>
    <t>5711</t>
  </si>
  <si>
    <t>Velásquez, Juan D.; Ríos, Sebastián A.; Howlett, Robert J.; Jain, Lakhmi C.</t>
  </si>
  <si>
    <t>3HLW2KTQ</t>
  </si>
  <si>
    <t>4970</t>
  </si>
  <si>
    <t>Nagl, Manfred; Marquardt, Wolfgang</t>
  </si>
  <si>
    <t>2R9W2CEC</t>
  </si>
  <si>
    <t>Sci Rep</t>
  </si>
  <si>
    <t>9YFCUB8K</t>
  </si>
  <si>
    <t>70</t>
  </si>
  <si>
    <t>ZTIQ238S</t>
  </si>
  <si>
    <t>3713</t>
  </si>
  <si>
    <t>Briand, Lionel; Williams, Clay</t>
  </si>
  <si>
    <t>3JUDNKK6</t>
  </si>
  <si>
    <t>9953</t>
  </si>
  <si>
    <t>Margaria, Tiziana; Steffen, Bernhard</t>
  </si>
  <si>
    <t>KY4RYNHG</t>
  </si>
  <si>
    <t>6189</t>
  </si>
  <si>
    <t>Benatallah, Boualem; Casati, Fabio; Kappel, Gerti; Rossi, Gustavo</t>
  </si>
  <si>
    <t>958KA64C</t>
  </si>
  <si>
    <t>12127</t>
  </si>
  <si>
    <t>B-MERODE</t>
  </si>
  <si>
    <t>Dustdar, Schahram; Yu, Eric; Salinesi, Camille; Rieu, Dominique; Pant, Vik</t>
  </si>
  <si>
    <t>RGCKL82B</t>
  </si>
  <si>
    <t>381</t>
  </si>
  <si>
    <t>Context Modeling and Metamodeling</t>
  </si>
  <si>
    <t>El Oualkadi, Ahmed; Choubani, Fethi; El Moussati, Ali</t>
  </si>
  <si>
    <t>RI7G54I5</t>
  </si>
  <si>
    <t>CUBADJE8</t>
  </si>
  <si>
    <t>10137</t>
  </si>
  <si>
    <t>Lierler, Yuliya; Taha, Walid</t>
  </si>
  <si>
    <t>MF8SBFK8</t>
  </si>
  <si>
    <t>312</t>
  </si>
  <si>
    <t>Korytowski, Adam; Malanowski, Kazimierz; Mitkowski, Wojciech; Szymkat, Maciej</t>
  </si>
  <si>
    <t>84P2N68F</t>
  </si>
  <si>
    <t>678</t>
  </si>
  <si>
    <t>MDE4IoT</t>
  </si>
  <si>
    <t>Badica, Costin; El Fallah Seghrouchni, Amal; Beynier, Aurélie; Camacho, David; Herpson, Cédric; Hindriks, Koen; Novais, Paulo</t>
  </si>
  <si>
    <t>3U96Q73U</t>
  </si>
  <si>
    <t>112</t>
  </si>
  <si>
    <t>Bajec, Marko; Eder, Johann</t>
  </si>
  <si>
    <t>2VURJDJL</t>
  </si>
  <si>
    <t>30</t>
  </si>
  <si>
    <t>J Polym Environ</t>
  </si>
  <si>
    <t>57DQYNKV</t>
  </si>
  <si>
    <t>13350</t>
  </si>
  <si>
    <t>Finch</t>
  </si>
  <si>
    <t>Groen, Derek; de Mulatier, Clélia; Paszynski, Maciej; Krzhizhanovskaya, Valeria V.; Dongarra, Jack J.; Sloot, Peter M. A.</t>
  </si>
  <si>
    <t>A4KRXB2L</t>
  </si>
  <si>
    <t>Autom Softw Eng</t>
  </si>
  <si>
    <t>9PK9YLN9</t>
  </si>
  <si>
    <t>401</t>
  </si>
  <si>
    <t>Lipiński, Piotr; Świrski, Konrad</t>
  </si>
  <si>
    <t>5K7TPZXT</t>
  </si>
  <si>
    <t>1269</t>
  </si>
  <si>
    <t>Muccini, Henry; Avgeriou, Paris; Buhnova, Barbora; Camara, Javier; Caporuscio, Mauro; Franzago, Mirco; Koziolek, Anne; Scandurra, Patrizia; Trubiani, Catia; Weyns, Danny; Zdun, Uwe</t>
  </si>
  <si>
    <t>YDIS59LC</t>
  </si>
  <si>
    <t>Recommender systems in model-driven engineering</t>
  </si>
  <si>
    <t>EWGAAE8Y</t>
  </si>
  <si>
    <t>6514</t>
  </si>
  <si>
    <t>Garcia-Alfaro, Joaquin; Navarro-Arribas, Guillermo; Cavalli, Ana; Leneutre, Jean</t>
  </si>
  <si>
    <t>GCT37YMD</t>
  </si>
  <si>
    <t>4995</t>
  </si>
  <si>
    <t>Artikis, Alexander; O’Hare, Gregory M. P.; Stathis, Kostas; Vouros, George</t>
  </si>
  <si>
    <t>3D7ZYWDU</t>
  </si>
  <si>
    <t>409</t>
  </si>
  <si>
    <t>Bernard, Alain; Rivest, Louis; Dutta, Debasish</t>
  </si>
  <si>
    <t>Y6RXQCCL</t>
  </si>
  <si>
    <t>692</t>
  </si>
  <si>
    <t>Hammoudi, Slimane; Pires, Luís Ferreira; Selic, Bran; Desfray, Philippe</t>
  </si>
  <si>
    <t>IR79P6CT</t>
  </si>
  <si>
    <t>11014</t>
  </si>
  <si>
    <t>OpenABL</t>
  </si>
  <si>
    <t>Aldinucci, Marco; Padovani, Luca; Torquati, Massimo</t>
  </si>
  <si>
    <t>JWW8CNN3</t>
  </si>
  <si>
    <t>1361</t>
  </si>
  <si>
    <t>Hammoudi, Slimane; Pires, Luís Ferreira; Selić, Bran</t>
  </si>
  <si>
    <t>G6RASARN</t>
  </si>
  <si>
    <t>241</t>
  </si>
  <si>
    <t>Planning of Composite Logistics Services</t>
  </si>
  <si>
    <t>Hammoudi, Slimane; Maciaszek, Leszek; Teniente, Ernest; Camp, Olivier; Cordeiro, José</t>
  </si>
  <si>
    <t>BXYGNWMG</t>
  </si>
  <si>
    <t>51</t>
  </si>
  <si>
    <t>J Intell Inf Syst</t>
  </si>
  <si>
    <t>UMAM4JR5</t>
  </si>
  <si>
    <t>11814</t>
  </si>
  <si>
    <t>OCL2PSQL</t>
  </si>
  <si>
    <t>Dang, Tran Khanh; Küng, Josef; Takizawa, Makoto; Bui, Son Ha</t>
  </si>
  <si>
    <t>BKZDLDLN</t>
  </si>
  <si>
    <t>8225</t>
  </si>
  <si>
    <t>Erwig, Martin; Paige, Richard F.; Van Wyk, Eric</t>
  </si>
  <si>
    <t>PIR8G9GD</t>
  </si>
  <si>
    <t>Z7F6CH85</t>
  </si>
  <si>
    <t>4662</t>
  </si>
  <si>
    <t>Baranauskas, Cécilia; Palanque, Philippe; Abascal, Julio; Barbosa, Simone Diniz Junqueira</t>
  </si>
  <si>
    <t>5LYRM3CK</t>
  </si>
  <si>
    <t>6873</t>
  </si>
  <si>
    <t>Malyshkin, Victor</t>
  </si>
  <si>
    <t>J2Y9SQSU</t>
  </si>
  <si>
    <t>12717</t>
  </si>
  <si>
    <t>Jolie and LEMMA</t>
  </si>
  <si>
    <t>Damiani, Ferruccio; Dardha, Ornela</t>
  </si>
  <si>
    <t>82VPR2ZM</t>
  </si>
  <si>
    <t>340</t>
  </si>
  <si>
    <t>ARSL</t>
  </si>
  <si>
    <t>Kim, Tai-hoon; Ramos, Carlos; Kim, Haeng-kon; Kiumi, Akingbehin; Mohammed, Sabah; Ślęzak, Dominik</t>
  </si>
  <si>
    <t>5U2FBCJM</t>
  </si>
  <si>
    <t>1641</t>
  </si>
  <si>
    <t>Hutter, Dieter; Stephan, Werner; Traverso, Paolo; Ullmann, Markus</t>
  </si>
  <si>
    <t>E34EMY8U</t>
  </si>
  <si>
    <t>391</t>
  </si>
  <si>
    <t>Gruca, Aleksandra; Brachman, Agnieszka; Kozielski, Stanisław; Czachórski, Tadeusz</t>
  </si>
  <si>
    <t>H4ZGD85H</t>
  </si>
  <si>
    <t>MCF</t>
  </si>
  <si>
    <t>Huss, Sorin A.</t>
  </si>
  <si>
    <t>WNHJH85X</t>
  </si>
  <si>
    <t>1022</t>
  </si>
  <si>
    <t>Generation of Adapted Learning Game Scenarios</t>
  </si>
  <si>
    <t>McLaren, Bruce M.; Reilly, Rob; Zvacek, Susan; Uhomoibhi, James</t>
  </si>
  <si>
    <t>NLVKKUHV</t>
  </si>
  <si>
    <t>22</t>
  </si>
  <si>
    <t>Filipe, Joaquim; Shishkov, Boris; Helfert, Markus; Maciaszek, Leszek A.</t>
  </si>
  <si>
    <t>J8Z2T3WP</t>
  </si>
  <si>
    <t>302</t>
  </si>
  <si>
    <t>Menegatti, Emanuele; Michael, Nathan; Berns, Karsten; Yamaguchi, Hiroaki</t>
  </si>
  <si>
    <t>HJW3YD93</t>
  </si>
  <si>
    <t>9V35S882</t>
  </si>
  <si>
    <t>9273</t>
  </si>
  <si>
    <t>Pereira, Francisco; Machado, Penousal; Costa, Ernesto; Cardoso, Amílcar</t>
  </si>
  <si>
    <t>JYA8X7S2</t>
  </si>
  <si>
    <t>8174</t>
  </si>
  <si>
    <t>Legay, Axel; Bensalem, Saddek</t>
  </si>
  <si>
    <t>QZYCCHF3</t>
  </si>
  <si>
    <t>12441</t>
  </si>
  <si>
    <t>Djemame, Karim; Altmann, Jörn; Bañares, José Ángel; Agmon Ben-Yehuda, Orna; Stankovski, Vlado; Tuffin, Bruno</t>
  </si>
  <si>
    <t>QSF2YMNB</t>
  </si>
  <si>
    <t>it</t>
  </si>
  <si>
    <t>5ZYLL726</t>
  </si>
  <si>
    <t>10816</t>
  </si>
  <si>
    <t>VizDSL</t>
  </si>
  <si>
    <t>Krogstie, John; Reijers, Hajo A.</t>
  </si>
  <si>
    <t>3Z2AXK9Q</t>
  </si>
  <si>
    <t>From requirements to source code</t>
  </si>
  <si>
    <t>ZIBTRQ9J</t>
  </si>
  <si>
    <t>I86F8EVY</t>
  </si>
  <si>
    <t>13165</t>
  </si>
  <si>
    <t>$$\textsf {CircuitFlow}$$</t>
  </si>
  <si>
    <t>Cheney, James; Perri, Simona</t>
  </si>
  <si>
    <t>BWZQVHL4</t>
  </si>
  <si>
    <t>Innovations Syst Softw Eng</t>
  </si>
  <si>
    <t>4UFB8UL6</t>
  </si>
  <si>
    <t>6816</t>
  </si>
  <si>
    <t>Kuchen, Herbert</t>
  </si>
  <si>
    <t>5MTID9WL</t>
  </si>
  <si>
    <t>1494</t>
  </si>
  <si>
    <t>Cai, Zhiping; Li, Jian; Zhang, Jialin</t>
  </si>
  <si>
    <t>7WBIM5QL</t>
  </si>
  <si>
    <t>129</t>
  </si>
  <si>
    <t>Analysis of Industrial Challenges and Capabilities in Computer Science and Software Development Sector</t>
  </si>
  <si>
    <t>Qian, Zhihong; Cao, Lei; Su, Weilian; Wang, Tingkai; Yang, Huamin</t>
  </si>
  <si>
    <t>2XX86U5V</t>
  </si>
  <si>
    <t>JTMM5PYW</t>
  </si>
  <si>
    <t>76</t>
  </si>
  <si>
    <t>J Supercomput</t>
  </si>
  <si>
    <t>L586B3MF</t>
  </si>
  <si>
    <t>FR38P6L6</t>
  </si>
  <si>
    <t>6428</t>
  </si>
  <si>
    <t>Meersman, Robert; Dillon, Tharam; Herrero, Pilar</t>
  </si>
  <si>
    <t>R4TL5IYW</t>
  </si>
  <si>
    <t>10244</t>
  </si>
  <si>
    <t>Saeed, Khalid; Homenda, Władysław; Chaki, Rituparna</t>
  </si>
  <si>
    <t>PW98CRPE</t>
  </si>
  <si>
    <t>LZV4GXMU</t>
  </si>
  <si>
    <t>EURASIP J. Adv. Signal Process.</t>
  </si>
  <si>
    <t>V46LYXHE</t>
  </si>
  <si>
    <t>18</t>
  </si>
  <si>
    <t>J Real-Time Image Proc</t>
  </si>
  <si>
    <t>HipaccVX</t>
  </si>
  <si>
    <t>QGU3TFI3</t>
  </si>
  <si>
    <t>5Q8RNZW5</t>
  </si>
  <si>
    <t>141</t>
  </si>
  <si>
    <t>The REA-DSL</t>
  </si>
  <si>
    <t>King, Rudibert</t>
  </si>
  <si>
    <t>T2CSTDAY</t>
  </si>
  <si>
    <t>JJVY7F7H</t>
  </si>
  <si>
    <t>5PVML2XT</t>
  </si>
  <si>
    <t>10740</t>
  </si>
  <si>
    <t>German, Reinhard; Hielscher, Kai-Steffen; Krieger, Udo R.</t>
  </si>
  <si>
    <t>KLYD9XW7</t>
  </si>
  <si>
    <t>10963</t>
  </si>
  <si>
    <t>Gervasi, Osvaldo; Murgante, Beniamino; Misra, Sanjay; Stankova, Elena; Torre, Carmelo M.; Rocha, Ana Maria A.C.; Taniar, David; Apduhan, Bernady O.; Tarantino, Eufemia; Ryu, Yeonseung</t>
  </si>
  <si>
    <t>9YJS3YIA</t>
  </si>
  <si>
    <t>28K45XZ4</t>
  </si>
  <si>
    <t>Phase Change Heat Transfer in Cylindrical Domain</t>
  </si>
  <si>
    <t>Kılkısş, Birol; Kakaç, Sadık</t>
  </si>
  <si>
    <t>67CV2V5Y</t>
  </si>
  <si>
    <t>6XRAFAHT</t>
  </si>
  <si>
    <t>64</t>
  </si>
  <si>
    <t>E9TTTZMU</t>
  </si>
  <si>
    <t>32T4Z2PU</t>
  </si>
  <si>
    <t>WKGPYLBY</t>
  </si>
  <si>
    <t>72KD3ITR</t>
  </si>
  <si>
    <t>N75YLC83</t>
  </si>
  <si>
    <t>NN5DF72J</t>
  </si>
  <si>
    <t>55</t>
  </si>
  <si>
    <t>NIMQWGI8</t>
  </si>
  <si>
    <t>ZXFYLCDR</t>
  </si>
  <si>
    <t>68AEQZIC</t>
  </si>
  <si>
    <t>ZVIPYTZX</t>
  </si>
  <si>
    <t>64FLHYPK</t>
  </si>
  <si>
    <t>I78VHIQK</t>
  </si>
  <si>
    <t>LTG7U879</t>
  </si>
  <si>
    <t>FH4TLY7I</t>
  </si>
  <si>
    <t>5T7G8UQ4</t>
  </si>
  <si>
    <t>SXPDKM2F</t>
  </si>
  <si>
    <t>UHV3ZY8R</t>
  </si>
  <si>
    <t>6P3PFZ3V</t>
  </si>
  <si>
    <t>7REBSS6M</t>
  </si>
  <si>
    <t>EGYJ6MEB</t>
  </si>
  <si>
    <t>ATPJYSSZ</t>
  </si>
  <si>
    <t>WDT4EGKE</t>
  </si>
  <si>
    <t>UCM6HDNJ</t>
  </si>
  <si>
    <t>GYBDGEPA</t>
  </si>
  <si>
    <t>FTAKTV5K</t>
  </si>
  <si>
    <t>3459UEMV</t>
  </si>
  <si>
    <t>CDGF8EG2</t>
  </si>
  <si>
    <t>BALBF3FT</t>
  </si>
  <si>
    <t>7PFWIHLM</t>
  </si>
  <si>
    <t>NE67UWJM</t>
  </si>
  <si>
    <t>J77W54Q7</t>
  </si>
  <si>
    <t>EZZG8LYS</t>
  </si>
  <si>
    <t>Frantz, F.K.</t>
  </si>
  <si>
    <t>A taxonomy of model abstraction techniques</t>
  </si>
  <si>
    <t>Winter Simulation Conference Proceedings, 1995.</t>
  </si>
  <si>
    <t>10.1109/WSC.1995.479055</t>
  </si>
  <si>
    <t>1413-1420</t>
  </si>
  <si>
    <t>RM4UKZ5H</t>
  </si>
  <si>
    <t>DQKJBYE9</t>
  </si>
  <si>
    <t>LRCVDPSH</t>
  </si>
  <si>
    <t>6JIJV4FJ</t>
  </si>
  <si>
    <t>J7F5T2AD</t>
  </si>
  <si>
    <t>U3DP6SNR</t>
  </si>
  <si>
    <t>US5VJRN2</t>
  </si>
  <si>
    <t>UGUZVY6C</t>
  </si>
  <si>
    <t>LTQDIDVL</t>
  </si>
  <si>
    <t>DYF7IJ4J</t>
  </si>
  <si>
    <t>RSNZ9WGW</t>
  </si>
  <si>
    <t>AGE8N86V</t>
  </si>
  <si>
    <t>BJ7Y87HQ</t>
  </si>
  <si>
    <t>XR89EKIP</t>
  </si>
  <si>
    <t>SENSY6IY</t>
  </si>
  <si>
    <t>5ZWS3X67</t>
  </si>
  <si>
    <t>U8WDRZHJ</t>
  </si>
  <si>
    <t>UW2TTJ82</t>
  </si>
  <si>
    <t>YTKVXF54</t>
  </si>
  <si>
    <t>NQ8H9QSH</t>
  </si>
  <si>
    <t>5395UMKC</t>
  </si>
  <si>
    <t>2X9AP2GA</t>
  </si>
  <si>
    <t>2ECL8S9H</t>
  </si>
  <si>
    <t>2WEHEY52</t>
  </si>
  <si>
    <t>KP9A88DT</t>
  </si>
  <si>
    <t>VH46WAFG</t>
  </si>
  <si>
    <t>4GJ9I5HU</t>
  </si>
  <si>
    <t>NSQ93HFP</t>
  </si>
  <si>
    <t>6YDBRIG7</t>
  </si>
  <si>
    <t>KPJ6GD2R</t>
  </si>
  <si>
    <t>Build. Simul.</t>
  </si>
  <si>
    <t>ZHTQ7CB5</t>
  </si>
  <si>
    <t>3IB6D3W9</t>
  </si>
  <si>
    <t>ModelSet</t>
  </si>
  <si>
    <t>CJZBK864</t>
  </si>
  <si>
    <t>Lathrop, Scott A.; Costa, Jim; Kramer, William</t>
  </si>
  <si>
    <t>JEALNII4</t>
  </si>
  <si>
    <t>Tolvanen, Juha-Pekka; Gray, Jeff; Rossi, Matti; Sprinkle, Jonathan</t>
  </si>
  <si>
    <t>R933I3YK</t>
  </si>
  <si>
    <t>11187</t>
  </si>
  <si>
    <t>Fischer, Bernd; Uustalu, Tarmo</t>
  </si>
  <si>
    <t>5K5VF6C3</t>
  </si>
  <si>
    <t>abs/2109.03570</t>
  </si>
  <si>
    <t>T9V7CU8S</t>
  </si>
  <si>
    <t>Becker, Brett A.; Quille, Keith; Laakso, Mikko-Jussi; Barendsen, Erik; Simon</t>
  </si>
  <si>
    <t>ZP63UN37</t>
  </si>
  <si>
    <t>Mammeri, Zoubir</t>
  </si>
  <si>
    <t>V25XLHQU</t>
  </si>
  <si>
    <t>Hammoudi, Slimane; Pires, Luís Ferreira; Filipe, Joaquim; Neves, Rui César das</t>
  </si>
  <si>
    <t>RGGQRWLZ</t>
  </si>
  <si>
    <t>UETETEFG</t>
  </si>
  <si>
    <t>184</t>
  </si>
  <si>
    <t>Shakshuki, Elhadi M.; Yasar, Ansar-Ul-Haque</t>
  </si>
  <si>
    <t>Z3GR2A47</t>
  </si>
  <si>
    <t>Benini, Luca; Micheli, Giovanni De; Al-Hashimi, Bashir M.; Müller, Wolfgang</t>
  </si>
  <si>
    <t>J8JLVQY3</t>
  </si>
  <si>
    <t>2442</t>
  </si>
  <si>
    <t>Ferry, Nicolas; Cicchetti, Antonio; Ciccozzi, Federico; Solberg, Arnor; Wimmer, Manuel; Wortmann, Andreas</t>
  </si>
  <si>
    <t>QTAMJKC4</t>
  </si>
  <si>
    <t>34NNML6I</t>
  </si>
  <si>
    <t>6295</t>
  </si>
  <si>
    <t>Catania, Barbara; Ivanovic, Mirjana; Thalheim, Bernhard</t>
  </si>
  <si>
    <t>VEU4TSYR</t>
  </si>
  <si>
    <t>5658</t>
  </si>
  <si>
    <t>Taha, Walid Mohamed</t>
  </si>
  <si>
    <t>K7JQ2RAW</t>
  </si>
  <si>
    <t>Talwalkar, Ameet; Smith, Virginia; Zaharia, Matei</t>
  </si>
  <si>
    <t>YVGXRQF5</t>
  </si>
  <si>
    <t>Ács, Gergely; Martin, Andrew P.; Martinovic, Ivan; Castelluccia, Claude; Traynor, Patrick</t>
  </si>
  <si>
    <t>RQJ7F2GC</t>
  </si>
  <si>
    <t>ISZF47XM</t>
  </si>
  <si>
    <t>Fernández, Raquel; Katagiri, Yasuhiro; Komatani, Kazunori; Lemon, Oliver; Nakano, Mikio</t>
  </si>
  <si>
    <t>G3ISQCFM</t>
  </si>
  <si>
    <t>Kovalerchuk, Boris</t>
  </si>
  <si>
    <t>KD6982CH</t>
  </si>
  <si>
    <t>12262</t>
  </si>
  <si>
    <t>Martel, Anne L.; Abolmaesumi, Purang; Stoyanov, Danail; Mateus, Diana; Zuluaga, Maria A.; Zhou, S. Kevin; Racoceanu, Daniel; Joskowicz, Leo</t>
  </si>
  <si>
    <t>MZKUHEHD</t>
  </si>
  <si>
    <t>YU4XZAEI</t>
  </si>
  <si>
    <t>Skowron, Andrzej; Agrawal, Rakesh; Luck, Michael; Yamaguchi, Takahira; Morizet-Mahoudeaux, Pierre; Liu, Jiming; Zhong, Ning</t>
  </si>
  <si>
    <t>D5BFRGFP</t>
  </si>
  <si>
    <t>32</t>
  </si>
  <si>
    <t>WCSQ2KYZ</t>
  </si>
  <si>
    <t>Matthes, Florian; Mendling, Jan; Rinderle-Ma, Stefanie</t>
  </si>
  <si>
    <t>H6E7K4KY</t>
  </si>
  <si>
    <t>Chuklin, Aleksandr; Dalton, Jeff; Kiseleva, Julia; Borisov, Alexey; Burtsev, Mikhail S.</t>
  </si>
  <si>
    <t>8BP6FYPJ</t>
  </si>
  <si>
    <t>cs.AI/0207056</t>
  </si>
  <si>
    <t>VPH5V3RG</t>
  </si>
  <si>
    <t>382</t>
  </si>
  <si>
    <t>Iliadis, Lazaros S.; Maglogiannis, Ilias; Papadopoulos, Harris; Karatzas, Kostas D.; Sioutas, Spyros</t>
  </si>
  <si>
    <t>XQ4I72TX</t>
  </si>
  <si>
    <t>1485</t>
  </si>
  <si>
    <t>Bellodi, Elena; Bonfietti, Alessio</t>
  </si>
  <si>
    <t>XPBSV5LF</t>
  </si>
  <si>
    <t>abs/2208.05753</t>
  </si>
  <si>
    <t>N8L74CRA</t>
  </si>
  <si>
    <t>5549</t>
  </si>
  <si>
    <t>Gao, Yong; Japkowicz, Nathalie</t>
  </si>
  <si>
    <t>LJCTDCYP</t>
  </si>
  <si>
    <t>11495</t>
  </si>
  <si>
    <t>Dutilleul, Simon Collart; Lecomte, Thierry; Romanovsky, Alexander B.</t>
  </si>
  <si>
    <t>SAYB62MW</t>
  </si>
  <si>
    <t>7602</t>
  </si>
  <si>
    <t>Abelló, Alberto; Bellatreche, Ladjel; Benatallah, Boualem</t>
  </si>
  <si>
    <t>CPRCVLB8</t>
  </si>
  <si>
    <t>9952</t>
  </si>
  <si>
    <t>2MTJDG36</t>
  </si>
  <si>
    <t>MKC3GQ6X</t>
  </si>
  <si>
    <t>QMD9JRVZ</t>
  </si>
  <si>
    <t>CEJQHMGT</t>
  </si>
  <si>
    <t>NCJ8GT77</t>
  </si>
  <si>
    <t>XA6U6Q4R</t>
  </si>
  <si>
    <t>4AEZS5H2</t>
  </si>
  <si>
    <t>JV46LYV6</t>
  </si>
  <si>
    <t>TMSJE48N</t>
  </si>
  <si>
    <t>6P35KDFU</t>
  </si>
  <si>
    <t>X6G5IDGE</t>
  </si>
  <si>
    <t>ANTI52FA</t>
  </si>
  <si>
    <t>SIGPLAN Not.</t>
  </si>
  <si>
    <t>0362-1340</t>
  </si>
  <si>
    <t>10.1145/1133255.1134003</t>
  </si>
  <si>
    <t>https://doi.org/10.1145/1133255.1134003</t>
  </si>
  <si>
    <t>2006-06</t>
  </si>
  <si>
    <t>41</t>
  </si>
  <si>
    <t>GEKY52IU</t>
  </si>
  <si>
    <t>10.1145/3296979.3192379</t>
  </si>
  <si>
    <t>https://doi.org/10.1145/3296979.3192379</t>
  </si>
  <si>
    <t>2018-06</t>
  </si>
  <si>
    <t>53</t>
  </si>
  <si>
    <t>CJF98QQA</t>
  </si>
  <si>
    <t>10.1145/2692916.2557966</t>
  </si>
  <si>
    <t>https://doi.org/10.1145/2692916.2557966</t>
  </si>
  <si>
    <t>2014-02</t>
  </si>
  <si>
    <t>49</t>
  </si>
  <si>
    <t>5PXGLAIX</t>
  </si>
  <si>
    <t>10.1145/2480361.2371417</t>
  </si>
  <si>
    <t>https://doi.org/10.1145/2480361.2371417</t>
  </si>
  <si>
    <t>2012-09</t>
  </si>
  <si>
    <t>KYDHQ2SJ</t>
  </si>
  <si>
    <t>RBJ442F7</t>
  </si>
  <si>
    <t>MBQNZ6ND</t>
  </si>
  <si>
    <t>WLDBBHX8</t>
  </si>
  <si>
    <t>JDCR3ABU</t>
  </si>
  <si>
    <t>K4TBNSM6</t>
  </si>
  <si>
    <t>72K8ELMW</t>
  </si>
  <si>
    <t>TZDYYJGU</t>
  </si>
  <si>
    <t>MMSD423Z</t>
  </si>
  <si>
    <t>Model-driven engineering for mobile robotic systems</t>
  </si>
  <si>
    <t>A2XRWCUI</t>
  </si>
  <si>
    <t>4143</t>
  </si>
  <si>
    <t>Lämmel, Ralf; Saraiva, João; Visser, Joost</t>
  </si>
  <si>
    <t>78I74696</t>
  </si>
  <si>
    <t>12007</t>
  </si>
  <si>
    <t>A DSL for Integer Range Reasoning</t>
  </si>
  <si>
    <t>Komendantskaya, Ekaterina; Liu, Yanhong Annie</t>
  </si>
  <si>
    <t>QW6ME96Z</t>
  </si>
  <si>
    <t>295</t>
  </si>
  <si>
    <t>Song, Houbing; Jiang, Dingde</t>
  </si>
  <si>
    <t>HA4GAWBX</t>
  </si>
  <si>
    <t>PQVULU28</t>
  </si>
  <si>
    <t>6956</t>
  </si>
  <si>
    <t>Cohen, Myra B.; Ó Cinnéide, Mel</t>
  </si>
  <si>
    <t>BAXGPBQS</t>
  </si>
  <si>
    <t>4745</t>
  </si>
  <si>
    <t>Gaudin, Emmanuel; Najm, Elie; Reed, Rick</t>
  </si>
  <si>
    <t>FECAAAKD</t>
  </si>
  <si>
    <t>X49SHU75</t>
  </si>
  <si>
    <t>47</t>
  </si>
  <si>
    <t>Program Comput Soft</t>
  </si>
  <si>
    <t>LGJU5D9E</t>
  </si>
  <si>
    <t>Stat Comput</t>
  </si>
  <si>
    <t>2NCUZMEP</t>
  </si>
  <si>
    <t>Int J Softw Tools Technol Transfer</t>
  </si>
  <si>
    <t>HUPKTDXT</t>
  </si>
  <si>
    <t>4940</t>
  </si>
  <si>
    <t>Gulliksen, Jan; Harning, Morton Borup; Palanque, Philippe; van der Veer, Gerrit C.; Wesson, Janet</t>
  </si>
  <si>
    <t>HL6REBDP</t>
  </si>
  <si>
    <t>615</t>
  </si>
  <si>
    <t>Arnicans, Guntis; Arnicane, Vineta; Borzovs, Juris; Niedrite, Laila</t>
  </si>
  <si>
    <t>SNRZ8QIZ</t>
  </si>
  <si>
    <t>5969</t>
  </si>
  <si>
    <t>van den Brand, Mark; Gašević, Dragan; Gray, Jeff</t>
  </si>
  <si>
    <t>Q3YRU3RT</t>
  </si>
  <si>
    <t>Modeling Meets Programming</t>
  </si>
  <si>
    <t>B35NZB3F</t>
  </si>
  <si>
    <t>11140</t>
  </si>
  <si>
    <t>Kůrková, Věra; Manolopoulos, Yannis; Hammer, Barbara; Iliadis, Lazaros; Maglogiannis, Ilias</t>
  </si>
  <si>
    <t>5Y2MV34M</t>
  </si>
  <si>
    <t>1243</t>
  </si>
  <si>
    <t>Robal, Tarmo; Haav, Hele-Mai; Penjam, Jaan; Matulevičius, Raimundas</t>
  </si>
  <si>
    <t>T8GDFB5T</t>
  </si>
  <si>
    <t>12543</t>
  </si>
  <si>
    <t>Casola, Valentina; De Benedictis, Alessandra; Rak, Massimiliano</t>
  </si>
  <si>
    <t>7R5VHCPI</t>
  </si>
  <si>
    <t>12871</t>
  </si>
  <si>
    <t>Andreasen, Troels; De Tré, Guy; Kacprzyk, Janusz; Legind Larsen, Henrik; Bordogna, Gloria; Zadrożny, Sławomir</t>
  </si>
  <si>
    <t>VLS9RA8X</t>
  </si>
  <si>
    <t>12224</t>
  </si>
  <si>
    <t>fault</t>
  </si>
  <si>
    <t>Lahiri, Shuvendu K.; Wang, Chao</t>
  </si>
  <si>
    <t>PZ9G9CYN</t>
  </si>
  <si>
    <t>8767</t>
  </si>
  <si>
    <t>Dingel, Juergen; Schulte, Wolfram; Ramos, Isidro; Abrahão, Silvia; Insfran, Emilio</t>
  </si>
  <si>
    <t>32AGSRVW</t>
  </si>
  <si>
    <t>930</t>
  </si>
  <si>
    <t>Rocha, Álvaro; Adeli, Hojjat; Reis, Luís Paulo; Costanzo, Sandra</t>
  </si>
  <si>
    <t>4ELEIZ5V</t>
  </si>
  <si>
    <t>10776</t>
  </si>
  <si>
    <t>Yokota, Rio; Wu, Weigang</t>
  </si>
  <si>
    <t>T6RFNUH8</t>
  </si>
  <si>
    <t>9432</t>
  </si>
  <si>
    <t>Pardalos, Panos; Pavone, Mario; Farinella, Giovanni Maria; Cutello, Vincenzo</t>
  </si>
  <si>
    <t>PTDLAJ7M</t>
  </si>
  <si>
    <t>IZ9UR9RG</t>
  </si>
  <si>
    <t>Artif Intell Rev</t>
  </si>
  <si>
    <t>A metamodeling approach for the identification of organizational smells in multi-agent systems</t>
  </si>
  <si>
    <t>UAQNYH3R</t>
  </si>
  <si>
    <t>FJ7BYGCN</t>
  </si>
  <si>
    <t>67</t>
  </si>
  <si>
    <t>Telecommun Syst</t>
  </si>
  <si>
    <t>42NFBRUL</t>
  </si>
  <si>
    <t>319</t>
  </si>
  <si>
    <t>Obaidat, Mohammad S.; Koziel, Slawomir; Kacprzyk, Janusz; Leifsson, Leifur; Ören, Tuncer</t>
  </si>
  <si>
    <t>SD4WJEE2</t>
  </si>
  <si>
    <t>3971</t>
  </si>
  <si>
    <t>Wang, Jun; Yi, Zhang; Zurada, Jacek M.; Lu, Bao-Liang; Yin, Hujun</t>
  </si>
  <si>
    <t>WUYABTHB</t>
  </si>
  <si>
    <t>10173</t>
  </si>
  <si>
    <t>Classifying Metamodeling Methods for Evolutionary Multi-objective Optimization</t>
  </si>
  <si>
    <t>Trautmann, Heike; Rudolph, Günter; Klamroth, Kathrin; Schütze, Oliver; Wiecek, Margaret; Jin, Yaochu; Grimme, Christian</t>
  </si>
  <si>
    <t>VTMSDNH9</t>
  </si>
  <si>
    <t>482</t>
  </si>
  <si>
    <t>Kodratoff, Yves</t>
  </si>
  <si>
    <t>Siekmann, J.; Goos, G.; Hartmanis, J.</t>
  </si>
  <si>
    <t>DEE6W7KB</t>
  </si>
  <si>
    <t>68</t>
  </si>
  <si>
    <t>Education Tech Research Dev</t>
  </si>
  <si>
    <t>Managing items and knowledge components</t>
  </si>
  <si>
    <t>CMHSSHJS</t>
  </si>
  <si>
    <t>7YIWTZGF</t>
  </si>
  <si>
    <t>1867</t>
  </si>
  <si>
    <t>Ganter, Bernhard; Mineau, Guy W.</t>
  </si>
  <si>
    <t>LAKI3ZVJ</t>
  </si>
  <si>
    <t>Model-Driven Engineering from Modular Monadic Semantics</t>
  </si>
  <si>
    <t>959QBJZJ</t>
  </si>
  <si>
    <t>446</t>
  </si>
  <si>
    <t>The B Method Meets MDE</t>
  </si>
  <si>
    <t>Guizzardi, Renata; Ralyté, Jolita; Franch, Xavier</t>
  </si>
  <si>
    <t>LRNGDQYH</t>
  </si>
  <si>
    <t>405</t>
  </si>
  <si>
    <t>Project Management in Small-Sized Software Enterprises</t>
  </si>
  <si>
    <t>Mejia, Jezreel; Munoz, Mirna; Rocha, Álvaro; Calvo-Manzano, Jose</t>
  </si>
  <si>
    <t>5MIYBMCF</t>
  </si>
  <si>
    <t>Ha, Soonhoi; Teich, Jürgen</t>
  </si>
  <si>
    <t>S2QBVFIU</t>
  </si>
  <si>
    <t>8396</t>
  </si>
  <si>
    <t>INCREMENT</t>
  </si>
  <si>
    <t>Salinesi, Camille; van de Weerd, Inge</t>
  </si>
  <si>
    <t>YVZQ9RTC</t>
  </si>
  <si>
    <t>XDFPKTEH</t>
  </si>
  <si>
    <t>6981</t>
  </si>
  <si>
    <t>Model-Driven Engineering and Optimizing Compilers</t>
  </si>
  <si>
    <t>Whittle, Jon; Clark, Tony; Kühne, Thomas</t>
  </si>
  <si>
    <t>JEYKTBPM</t>
  </si>
  <si>
    <t>2817</t>
  </si>
  <si>
    <t>Konstantas, Dimitri; Léonard, Michel; Pigneur, Yves; Patel, Shusma</t>
  </si>
  <si>
    <t>57669JGY</t>
  </si>
  <si>
    <t>97ZAHYT4</t>
  </si>
  <si>
    <t>6940</t>
  </si>
  <si>
    <t>Formalizing a Domain Specific Language Using SOS</t>
  </si>
  <si>
    <t>Sloane, Anthony; Aßmann, Uwe</t>
  </si>
  <si>
    <t>CNLK8JPL</t>
  </si>
  <si>
    <t>9153</t>
  </si>
  <si>
    <t>Taentzer, Gabriele; Bordeleau, Francis</t>
  </si>
  <si>
    <t>88GECS83</t>
  </si>
  <si>
    <t>3676</t>
  </si>
  <si>
    <t>Glück, Robert; Lowry, Michael</t>
  </si>
  <si>
    <t>2JMYKBQS</t>
  </si>
  <si>
    <t>Sobh, Tarek; Elleithy, Khaled</t>
  </si>
  <si>
    <t>A2WWNDEF</t>
  </si>
  <si>
    <t>QLQPD6VC</t>
  </si>
  <si>
    <t>Dornberger, Rolf</t>
  </si>
  <si>
    <t>F8IZWT2J</t>
  </si>
  <si>
    <t>227</t>
  </si>
  <si>
    <t>Sacha, Krzysztof</t>
  </si>
  <si>
    <t>EB7Z3W4A</t>
  </si>
  <si>
    <t>ZQYICRUE</t>
  </si>
  <si>
    <t>196</t>
  </si>
  <si>
    <t>SAE-China; FISITA</t>
  </si>
  <si>
    <t>H3YCNHNX</t>
  </si>
  <si>
    <t>5095</t>
  </si>
  <si>
    <t>Schieferdecker, Ina; Hartman, Alan</t>
  </si>
  <si>
    <t>8L586SCG</t>
  </si>
  <si>
    <t>11997</t>
  </si>
  <si>
    <t>FLY</t>
  </si>
  <si>
    <t>Schwardmann, Ulrich; Boehme, Christian; B. Heras, Dora; Cardellini, Valeria; Jeannot, Emmanuel; Salis, Antonio; Schifanella, Claudio; Manumachu, Ravi Reddy; Schwamborn, Dieter; Ricci, Laura; Sangyoon, Oh; Gruber, Thomas; Antonelli, Laura; Scott, Stephen L.</t>
  </si>
  <si>
    <t>N3VL7CVJ</t>
  </si>
  <si>
    <t>6141</t>
  </si>
  <si>
    <t>EriLex</t>
  </si>
  <si>
    <t>Vitek, Jan</t>
  </si>
  <si>
    <t>73SCZSS8</t>
  </si>
  <si>
    <t>Zbakh, Mostapha; Essaaidi, Mohammed; Manneback, Pierre; Rong, Chunming</t>
  </si>
  <si>
    <t>Z89US6DK</t>
  </si>
  <si>
    <t>86</t>
  </si>
  <si>
    <t>DC4IP6ZJ</t>
  </si>
  <si>
    <t>MGJ5VNBK</t>
  </si>
  <si>
    <t>12751</t>
  </si>
  <si>
    <t>La Rosa, Marcello; Sadiq, Shazia; Teniente, Ernest</t>
  </si>
  <si>
    <t>YLQRBEX9</t>
  </si>
  <si>
    <t>7745</t>
  </si>
  <si>
    <t>Czarnecki, Krzysztof; Hedin, Görel</t>
  </si>
  <si>
    <t>BYART46D</t>
  </si>
  <si>
    <t>Intel Serv Robotics</t>
  </si>
  <si>
    <t>KXFPP9BW</t>
  </si>
  <si>
    <t>VSFNVGEU</t>
  </si>
  <si>
    <t>369</t>
  </si>
  <si>
    <t>3QIFIGYL</t>
  </si>
  <si>
    <t>7TGLME5G</t>
  </si>
  <si>
    <t>79</t>
  </si>
  <si>
    <t>J Intell Robot Syst</t>
  </si>
  <si>
    <t>ZIRFSLMY</t>
  </si>
  <si>
    <t>433</t>
  </si>
  <si>
    <t>Satapathy, Suresh Chandra; Mandal, Jyotsna Kumar; Udgata, Siba K.; Bhateja, Vikrant</t>
  </si>
  <si>
    <t>VNEEDCNX</t>
  </si>
  <si>
    <t>11157</t>
  </si>
  <si>
    <t>TemporalEMF</t>
  </si>
  <si>
    <t>Trujillo, Juan C.; Davis, Karen C.; Du, Xiaoyong; Li, Zhanhuai; Ling, Tok Wang; Li, Guoliang; Lee, Mong Li</t>
  </si>
  <si>
    <t>6GUHQFKM</t>
  </si>
  <si>
    <t>10598</t>
  </si>
  <si>
    <t>Fantechi, Alessandro; Lecomte, Thierry; Romanovsky, Alexander</t>
  </si>
  <si>
    <t>SGUCH5VG</t>
  </si>
  <si>
    <t>43</t>
  </si>
  <si>
    <t>Palmer-Brown, Dominic; Draganova, Chrisina; Pimenidis, Elias; Mouratidis, Haris</t>
  </si>
  <si>
    <t>IDESMSBH</t>
  </si>
  <si>
    <t>630</t>
  </si>
  <si>
    <t>Dolgui, Alexandre; Bernard, Alain; Lemoine, David; von Cieminski, Gregor; Romero, David</t>
  </si>
  <si>
    <t>UTR9VVY2</t>
  </si>
  <si>
    <t>7400</t>
  </si>
  <si>
    <t>Jensen, Kurt; van der Aalst, Wil M.; Ajmone Marsan, Marco; Franceschinis, Giuliana; Kleijn, Jetty; Kristensen, Lars Michael</t>
  </si>
  <si>
    <t>6E6K5DS6</t>
  </si>
  <si>
    <t>1290</t>
  </si>
  <si>
    <t>Asset Administration Shell</t>
  </si>
  <si>
    <t>Arai, Kohei; Kapoor, Supriya; Bhatia, Rahul</t>
  </si>
  <si>
    <t>E3VWTRYV</t>
  </si>
  <si>
    <t>6559</t>
  </si>
  <si>
    <t>Mariño, Julio</t>
  </si>
  <si>
    <t>28ABDECB</t>
  </si>
  <si>
    <t>de Leon F. de Carvalho, Andre Ponce; Rodríguez-González, Sara; De Paz Santana, Juan F.; Rodríguez, Juan M. Corchado</t>
  </si>
  <si>
    <t>Kacprzyk, Janusz</t>
  </si>
  <si>
    <t>VNSLDAKU</t>
  </si>
  <si>
    <t>66TMHB3B</t>
  </si>
  <si>
    <t>37</t>
  </si>
  <si>
    <t>Hei, Xiao Jun; Cheung, Lawrence</t>
  </si>
  <si>
    <t>9UTJ7B3H</t>
  </si>
  <si>
    <t>Barolli, Leonard; Okada, Yoshihiro; Amato, Flora</t>
  </si>
  <si>
    <t>TR9VX6X4</t>
  </si>
  <si>
    <t>2363</t>
  </si>
  <si>
    <t>Cerri, Stefano A.; Gouardères, Guy; Paraguaçu, Fàbio</t>
  </si>
  <si>
    <t>SGKQDBSM</t>
  </si>
  <si>
    <t>7268</t>
  </si>
  <si>
    <t>Rutkowski, Leszek; Korytkowski, Marcin; Scherer, Rafał; Tadeusiewicz, Ryszard; Zadeh, Lotfi A.; Zurada, Jacek M.</t>
  </si>
  <si>
    <t>TVRJ3Q7Y</t>
  </si>
  <si>
    <t>33</t>
  </si>
  <si>
    <t>J. Comput. Sci. Technol.</t>
  </si>
  <si>
    <t>AocML</t>
  </si>
  <si>
    <t>V4BGS5FY</t>
  </si>
  <si>
    <t>473</t>
  </si>
  <si>
    <t>de la Prieta, Fernando; Escalona, María J.; Corchuelo, Rafael; Mathieu, Philippe; Vale, Zita; Campbell, Andrew T.; Rossi, Silvia; Adam, Emmanuel; Jiménez-López, María D.; Navarro, Elena M.; Moreno, María N.</t>
  </si>
  <si>
    <t>LRL9VK2G</t>
  </si>
  <si>
    <t>513</t>
  </si>
  <si>
    <t>Aster</t>
  </si>
  <si>
    <t>Senouci, Mustapha Reda; Boulahia, Said Yacine; Benatia, Mohamed Akrem</t>
  </si>
  <si>
    <t>QUNA83TW</t>
  </si>
  <si>
    <t>147</t>
  </si>
  <si>
    <t>Das, Vinu V; Thomas, Gylson; Lumban Gaol, Ford</t>
  </si>
  <si>
    <t>2558WEH9</t>
  </si>
  <si>
    <t>1307</t>
  </si>
  <si>
    <t>RAPL</t>
  </si>
  <si>
    <t>Rodriguez Morales, Germania; Fonseca C., Efraín R.; Salgado, Juan Pablo; Pérez-Gosende, Pablo; Orellana Cordero, Marcos; Berrezueta, Santiago</t>
  </si>
  <si>
    <t>HLT4TWPB</t>
  </si>
  <si>
    <t>507</t>
  </si>
  <si>
    <t>Hřebíček, Jiří; Denzer, Ralf; Schimak, Gerald; Pitner, Tomáš</t>
  </si>
  <si>
    <t>LHJLHJYN</t>
  </si>
  <si>
    <t>Q52WLKPS</t>
  </si>
  <si>
    <t>239</t>
  </si>
  <si>
    <t>Dubowski, Jan J.; Tanev, Stoyan</t>
  </si>
  <si>
    <t>7WV9DSUL</t>
  </si>
  <si>
    <t>8186</t>
  </si>
  <si>
    <t>Demey, Yan Tang; Panetto, Hervé</t>
  </si>
  <si>
    <t>HQ5DAITU</t>
  </si>
  <si>
    <t>FMQG86RL</t>
  </si>
  <si>
    <t>Behrens, Bernd-Arno; Brosius, Alexander; Hintze, Wolfgang; Ihlenfeldt, Steffen; Wulfsberg, Jens Peter</t>
  </si>
  <si>
    <t>3DF8LKL3</t>
  </si>
  <si>
    <t>631</t>
  </si>
  <si>
    <t>MDE-S</t>
  </si>
  <si>
    <t>I4S5KBKA</t>
  </si>
  <si>
    <t>Roesler, Valter; Barrére, Eduardo; Willrich, Roberto</t>
  </si>
  <si>
    <t>IJBPQQRZ</t>
  </si>
  <si>
    <t>6325</t>
  </si>
  <si>
    <t>Aßmann, Uwe; Bartho, Andreas; Wende, Christian</t>
  </si>
  <si>
    <t>I6QHYD6A</t>
  </si>
  <si>
    <t>9946</t>
  </si>
  <si>
    <t>Milazzo, Paolo; Varró, Dániel; Wimmer, Manuel</t>
  </si>
  <si>
    <t>23PHYZF8</t>
  </si>
  <si>
    <t>Named Entity Recognition and Normalization</t>
  </si>
  <si>
    <t>Corchado, Juan M.; Paz, Juan F.; Rocha, Miguel P.; Fernández Riverola, Florentino</t>
  </si>
  <si>
    <t>NNEK3K7I</t>
  </si>
  <si>
    <t>de</t>
  </si>
  <si>
    <t>Hierholzer, Günther; Kortmann, Horst-Rainer; Kunze, Georg; Peters, Dirk; Böhm, H.-J.; Herbst, B.; Kämmerling, R.; Scheele, H.</t>
  </si>
  <si>
    <t>QT879BJJ</t>
  </si>
  <si>
    <t>LIMTMK5V</t>
  </si>
  <si>
    <t>5872</t>
  </si>
  <si>
    <t>Meersman, Robert; Herrero, Pilar; Dillon, Tharam</t>
  </si>
  <si>
    <t>DWG8F8GP</t>
  </si>
  <si>
    <t>PT5JP2H5</t>
  </si>
  <si>
    <t>142</t>
  </si>
  <si>
    <t>9S6BD654</t>
  </si>
  <si>
    <t>3288</t>
  </si>
  <si>
    <t>Atzeni, Paolo; Chu, Wesley; Lu, Hongjun; Zhou, Shuigeng; Ling, Tok-Wang</t>
  </si>
  <si>
    <t>MZERG5AU</t>
  </si>
  <si>
    <t>8083</t>
  </si>
  <si>
    <t>Bǎdicǎ, Costin; Nguyen, Ngoc Thanh; Brezovan, Marius</t>
  </si>
  <si>
    <t>P7RQUADM</t>
  </si>
  <si>
    <t>978-1-4471-5057-2 978-1-4471-5058-9</t>
  </si>
  <si>
    <t>http://link.springer.com/10.1007/978-1-4471-5058-9_140</t>
  </si>
  <si>
    <t>805-816</t>
  </si>
  <si>
    <t>DOI: 10.1007/978-1-4471-5058-9_140</t>
  </si>
  <si>
    <t>LMYV88IW</t>
  </si>
  <si>
    <t>Soft Comput</t>
  </si>
  <si>
    <t>7LMTZCJE</t>
  </si>
  <si>
    <t>504</t>
  </si>
  <si>
    <t>Madeyski, Lech; Śmiałek, Michał; Hnatkowska, Bogumiła; Huzar, Zbigniev</t>
  </si>
  <si>
    <t>F89VY4Q9</t>
  </si>
  <si>
    <t>12846</t>
  </si>
  <si>
    <t>Abate, Alessandro; Marin, Andrea</t>
  </si>
  <si>
    <t>D4FWXI36</t>
  </si>
  <si>
    <t>2172</t>
  </si>
  <si>
    <t>Batini, Carlo; Giunchiglia, Fausto; Giorgini, Paolo; Mecella, Massimo</t>
  </si>
  <si>
    <t>F5SEAXYG</t>
  </si>
  <si>
    <t>3270</t>
  </si>
  <si>
    <t>Jeckle, Mario; Kowalczyk, Ryszard; Braun, Peter</t>
  </si>
  <si>
    <t>X8F5GQFQ</t>
  </si>
  <si>
    <t>6520</t>
  </si>
  <si>
    <t>Kaschek, Roland; Delcambre, Lois</t>
  </si>
  <si>
    <t>BP2EZQJU</t>
  </si>
  <si>
    <t>278</t>
  </si>
  <si>
    <t>Wen, Zhenkun; Li, Tianrui</t>
  </si>
  <si>
    <t>7ZENWKFQ</t>
  </si>
  <si>
    <t>117</t>
  </si>
  <si>
    <t>Kabashkin, Igor; Yatskiv, Irina; Prentkovskis, Olegas</t>
  </si>
  <si>
    <t>WZM9T3E7</t>
  </si>
  <si>
    <t>120</t>
  </si>
  <si>
    <t>Metamodeling-based simulation optimization in manufacturing problems</t>
  </si>
  <si>
    <t>PR7R5VHP</t>
  </si>
  <si>
    <t>310</t>
  </si>
  <si>
    <t>Martins, Ana Lúcia; Ferreira, Joao Carlos; Kocian, Alexander</t>
  </si>
  <si>
    <t>A3K37L7D</t>
  </si>
  <si>
    <t>2120</t>
  </si>
  <si>
    <t>Delugach, Harry S.; Stumme, Gerd</t>
  </si>
  <si>
    <t>Goos, G.; Hartmanis, J.; van Leeuwen, J.</t>
  </si>
  <si>
    <t>54M7L98D</t>
  </si>
  <si>
    <t>4132</t>
  </si>
  <si>
    <t>Kollias, Stefanos; Stafylopatis, Andreas; Duch, Włodzisław; Oja, Erkki</t>
  </si>
  <si>
    <t>EWQ3WFY7</t>
  </si>
  <si>
    <t>11244</t>
  </si>
  <si>
    <t>FYAS3R3K</t>
  </si>
  <si>
    <t>EWTGNN27</t>
  </si>
  <si>
    <t>4275</t>
  </si>
  <si>
    <t>Meersman, Robert; Tari, Zahir</t>
  </si>
  <si>
    <t>QUMETMZZ</t>
  </si>
  <si>
    <t>294</t>
  </si>
  <si>
    <t>Benlamri, Rachid</t>
  </si>
  <si>
    <t>SXPR8PTN</t>
  </si>
  <si>
    <t>355</t>
  </si>
  <si>
    <t>Saini, H. S.; Singh, R. K.; Tariq Beg, Mirza; Mulaveesala, Ravibabu; Mahmood, Md Rashid</t>
  </si>
  <si>
    <t>4WS9CUCD</t>
  </si>
  <si>
    <t>539</t>
  </si>
  <si>
    <t>Morzy, Tadeusz; Valduriez, Patrick; Bellatreche, Ladjel</t>
  </si>
  <si>
    <t>6J28I52B</t>
  </si>
  <si>
    <t>8215</t>
  </si>
  <si>
    <t>Anacleto, Junia C.; Clua, Esteban W. G.; da Silva, Flavio S. Correa; Fels, Sidney; Yang, Hyun S.</t>
  </si>
  <si>
    <t>MC5ZX7C7</t>
  </si>
  <si>
    <t>7977</t>
  </si>
  <si>
    <t>Daniel, Florian; Dolog, Peter; Li, Qing</t>
  </si>
  <si>
    <t>5UUIBS3X</t>
  </si>
  <si>
    <t>DYCB7DE8</t>
  </si>
  <si>
    <t>10862</t>
  </si>
  <si>
    <t>GeoSkelSL</t>
  </si>
  <si>
    <t>Shi, Yong; Fu, Haohuan; Tian, Yingjie; Krzhizhanovskaya, Valeria V.; Lees, Michael Harold; Dongarra, Jack; Sloot, Peter M. A.</t>
  </si>
  <si>
    <t>THSEWAKW</t>
  </si>
  <si>
    <t>9416</t>
  </si>
  <si>
    <t>SAIL</t>
  </si>
  <si>
    <t>Ciuciu, Ioana; Panetto, Hervé; Debruyne, Christophe; Aubry, Alexis; Bollen, Peter; Valencia-García, Rafael; Mishra, Alok; Fensel, Anna; Ferri, Fernando</t>
  </si>
  <si>
    <t>GGYY59IA</t>
  </si>
  <si>
    <t>9728</t>
  </si>
  <si>
    <t>Data Mining on Divers Alert Network DSL Database</t>
  </si>
  <si>
    <t>Perner, Petra</t>
  </si>
  <si>
    <t>DGHDNLXL</t>
  </si>
  <si>
    <t>5860</t>
  </si>
  <si>
    <t>Lee, Sunggu; Narasimhan, Priya</t>
  </si>
  <si>
    <t>G9A4XFID</t>
  </si>
  <si>
    <t>394</t>
  </si>
  <si>
    <t>Materia</t>
  </si>
  <si>
    <t>Abramowicz, Witold; Klein, Gary</t>
  </si>
  <si>
    <t>8C8RWMJU</t>
  </si>
  <si>
    <t>E-Move</t>
  </si>
  <si>
    <t>DGVGGCQ4</t>
  </si>
  <si>
    <t>103</t>
  </si>
  <si>
    <t>PWVJKYWR</t>
  </si>
  <si>
    <t>14</t>
  </si>
  <si>
    <t>Nat Comput</t>
  </si>
  <si>
    <t>UBPJALIR</t>
  </si>
  <si>
    <t>11176</t>
  </si>
  <si>
    <t>Model-Driven Engineering for Design-Runtime Interaction in Complex Systems</t>
  </si>
  <si>
    <t>Mazzara, Manuel; Ober, Iulian; Salaün, Gwen</t>
  </si>
  <si>
    <t>33N3Y9QB</t>
  </si>
  <si>
    <t>9547</t>
  </si>
  <si>
    <t>Serrano, Manuel; Hage, Jurriaan</t>
  </si>
  <si>
    <t>YPDWCAI5</t>
  </si>
  <si>
    <t>7225</t>
  </si>
  <si>
    <t>Vidal, Germán</t>
  </si>
  <si>
    <t>NWD5INTE</t>
  </si>
  <si>
    <t>77</t>
  </si>
  <si>
    <t>Babichev, Sergii; Lytvynenko, Volodymyr</t>
  </si>
  <si>
    <t>EYF37I95</t>
  </si>
  <si>
    <t>10978</t>
  </si>
  <si>
    <t>Demazeau, Yves; An, Bo; Bajo, Javier; Fernández-Caballero, Antonio</t>
  </si>
  <si>
    <t>G3GWPZXY</t>
  </si>
  <si>
    <t>7387</t>
  </si>
  <si>
    <t>GeForMTjs</t>
  </si>
  <si>
    <t>Brambilla, Marco; Tokuda, Takehiro; Tolksdorf, Robert</t>
  </si>
  <si>
    <t>IBVTETGN</t>
  </si>
  <si>
    <t>665UBFIJ</t>
  </si>
  <si>
    <t>ZH34EE7F</t>
  </si>
  <si>
    <t>417</t>
  </si>
  <si>
    <t>Filipe, Joaquim; Maciaszek, Leszek A.</t>
  </si>
  <si>
    <t>AUT9E3UK</t>
  </si>
  <si>
    <t>20</t>
  </si>
  <si>
    <t>Bootstrapping MDE development from ROS manual code</t>
  </si>
  <si>
    <t>GNW3N5UI</t>
  </si>
  <si>
    <t>8793</t>
  </si>
  <si>
    <t>Buchmann, Robert; Kifor, Claudiu Vasile; Yu, Jian</t>
  </si>
  <si>
    <t>5AFKPE43</t>
  </si>
  <si>
    <t>12073</t>
  </si>
  <si>
    <t>Nakano, Keisuke; Sagonas, Konstantinos</t>
  </si>
  <si>
    <t>XY65GYDH</t>
  </si>
  <si>
    <t>87</t>
  </si>
  <si>
    <t>Zavoral, Filip; Yaghob, Jakub; Pichappan, Pit; El-Qawasmeh, Eyas</t>
  </si>
  <si>
    <t>FERWWJAT</t>
  </si>
  <si>
    <t>ZLNYTJBL</t>
  </si>
  <si>
    <t>9MBVL37X</t>
  </si>
  <si>
    <t>6998</t>
  </si>
  <si>
    <t>Impact of MDE Approaches on the Maintainability of Web Applications</t>
  </si>
  <si>
    <t>Jeusfeld, Manfred; Delcambre, Lois; Ling, Tok-Wang</t>
  </si>
  <si>
    <t>VIP88ZXA</t>
  </si>
  <si>
    <t>GF4Z4MWL</t>
  </si>
  <si>
    <t>1652</t>
  </si>
  <si>
    <t>Chiusano, Silvia; Cerquitelli, Tania; Wrembel, Robert; Nørvåg, Kjetil; Catania, Barbara; Vargas-Solar, Genoveva; Zumpano, Ester</t>
  </si>
  <si>
    <t>D799VIGB</t>
  </si>
  <si>
    <t>1499</t>
  </si>
  <si>
    <t>Stephanidis, Constantine; Antona, Margherita; Ntoa, Stavroula</t>
  </si>
  <si>
    <t>J8B3EMQP</t>
  </si>
  <si>
    <t>5KA48BPK</t>
  </si>
  <si>
    <t>145</t>
  </si>
  <si>
    <t>Fernández-Izquierdo, María Ángeles; Muñoz-Torres, María Jesús; León, Raúl</t>
  </si>
  <si>
    <t>PM7D86WF</t>
  </si>
  <si>
    <t>Filipe, Joaquim; Śmiałek, Michał; Brodsky, Alexander; Hammoudi, Slimane</t>
  </si>
  <si>
    <t>EPS5G4CG</t>
  </si>
  <si>
    <t>6NWWLEP5</t>
  </si>
  <si>
    <t>178</t>
  </si>
  <si>
    <t>Poppe, Ronald; Meyer, John-Jules; Veltkamp, Remco; Dastani, Mehdi</t>
  </si>
  <si>
    <t>ZS3NJPLJ</t>
  </si>
  <si>
    <t>FDIQSLV8</t>
  </si>
  <si>
    <t>26</t>
  </si>
  <si>
    <t>Requirements Eng</t>
  </si>
  <si>
    <t>ILYR3QSX</t>
  </si>
  <si>
    <t>12234</t>
  </si>
  <si>
    <t>FASTEN.Safe</t>
  </si>
  <si>
    <t>Casimiro, António; Ortmeier, Frank; Bitsch, Friedemann; Ferreira, Pedro</t>
  </si>
  <si>
    <t>HFV4FYQ3</t>
  </si>
  <si>
    <t>1450</t>
  </si>
  <si>
    <t>Bellatreche, Ladjel; Dumas, Marlon; Karras, Panagiotis; Matulevičius, Raimundas; Awad, Ahmed; Weidlich, Matthias; Ivanović, Mirjana; Hartig, Olaf</t>
  </si>
  <si>
    <t>WXN7HCKT</t>
  </si>
  <si>
    <t>54</t>
  </si>
  <si>
    <t>Cybern Syst Anal</t>
  </si>
  <si>
    <t>2WBFVUUU</t>
  </si>
  <si>
    <t>10817</t>
  </si>
  <si>
    <t>Butler, Michael; Raschke, Alexander; Hoang, Thai Son; Reichl, Klaus</t>
  </si>
  <si>
    <t>R29V7AEW</t>
  </si>
  <si>
    <t>6095</t>
  </si>
  <si>
    <t>Aleven, Vincent; Kay, Judy; Mostow, Jack</t>
  </si>
  <si>
    <t>ACHZY6XU</t>
  </si>
  <si>
    <t>From Business Engineering to Digital Engineering</t>
  </si>
  <si>
    <t>Aier, Stephan; Rohner, Peter; Schelp, Joachim</t>
  </si>
  <si>
    <t>8377QV4J</t>
  </si>
  <si>
    <t>AJXMNW9H</t>
  </si>
  <si>
    <t>8810</t>
  </si>
  <si>
    <t>Brugali, Davide; Broenink, Jan F.; Kroeger, Torsten; MacDonald, Bruce A.</t>
  </si>
  <si>
    <t>2I5QCKVT</t>
  </si>
  <si>
    <t>23</t>
  </si>
  <si>
    <t>Cluster Comput</t>
  </si>
  <si>
    <t>2APTAYQQ</t>
  </si>
  <si>
    <t>13616</t>
  </si>
  <si>
    <t>Agents Assembly</t>
  </si>
  <si>
    <t>Dignum, Frank; Mathieu, Philippe; Corchado, Juan Manuel; De La Prieta, Fernando</t>
  </si>
  <si>
    <t>HL9QNZMV</t>
  </si>
  <si>
    <t>7628</t>
  </si>
  <si>
    <t>Noda, Itsuki; Ando, Noriaki; Brugali, Davide; Kuffner, James J.</t>
  </si>
  <si>
    <t>PA8FCIHJ</t>
  </si>
  <si>
    <t>347</t>
  </si>
  <si>
    <t>Ermolayev, Vadim; Mayr, Heinrich C.; Nikitchenko, Mykola; Spivakovsky, Aleksander; Zholtkevych, Grygoriy</t>
  </si>
  <si>
    <t>H9DXRNFL</t>
  </si>
  <si>
    <t>5DE5P6RP</t>
  </si>
  <si>
    <t>12222</t>
  </si>
  <si>
    <t>PaSe</t>
  </si>
  <si>
    <t>Byrski, Aleksander; Hughes, John</t>
  </si>
  <si>
    <t>ENXB55CI</t>
  </si>
  <si>
    <t>BHIHQPEP</t>
  </si>
  <si>
    <t>7435</t>
  </si>
  <si>
    <t>Yin, Hujun; Costa, José A. F.; Barreto, Guilherme</t>
  </si>
  <si>
    <t>INJSZUCM</t>
  </si>
  <si>
    <t>5518</t>
  </si>
  <si>
    <t>Omatu, Sigeru; Rocha, Miguel P.; Bravo, José; Fernández, Florentino; Corchado, Emilio; Bustillo, Andrés; Corchado, Juan M.</t>
  </si>
  <si>
    <t>52T2XB8M</t>
  </si>
  <si>
    <t>ZRJLM5WV</t>
  </si>
  <si>
    <t>10207</t>
  </si>
  <si>
    <t>Criado Pacheco, Natalia; Carrascosa, Carlos; Osman, Nardine; Julián Inglada, Vicente</t>
  </si>
  <si>
    <t>UN2VSNXD</t>
  </si>
  <si>
    <t>7320</t>
  </si>
  <si>
    <t>Bernardo, Marco; Cortellessa, Vittorio; Pierantonio, Alfonso</t>
  </si>
  <si>
    <t>PUKZURQH</t>
  </si>
  <si>
    <t>563</t>
  </si>
  <si>
    <t>Sierra-Rodríguez, José-Luis; Leal, José-Paulo; Simões, Alberto</t>
  </si>
  <si>
    <t>MW94TTB2</t>
  </si>
  <si>
    <t>31</t>
  </si>
  <si>
    <t>Approximation of multiresponse deterministic engineering simulations</t>
  </si>
  <si>
    <t>6EZQK2PV</t>
  </si>
  <si>
    <t>4395</t>
  </si>
  <si>
    <t>Daydé, Michel; Palma, José M. L. M.; Coutinho, Álvaro L. G. A.; Pacitti, Esther; Lopes, João Correia</t>
  </si>
  <si>
    <t>GSENWZZ5</t>
  </si>
  <si>
    <t>208</t>
  </si>
  <si>
    <t>Xj-ASD</t>
  </si>
  <si>
    <t>Bissyande, Tegawendé F.; Sie, Oumarou</t>
  </si>
  <si>
    <t>TBQLZUDZ</t>
  </si>
  <si>
    <t>2773</t>
  </si>
  <si>
    <t>Palade, Vasile; Howlett, Robert J.; Jain, Lakhmi</t>
  </si>
  <si>
    <t>BRJ3JFY6</t>
  </si>
  <si>
    <t>10094</t>
  </si>
  <si>
    <t>Zsók, Viktória; Porkoláb, Zoltán; Horváth, Zoltán</t>
  </si>
  <si>
    <t>V72E4U2Y</t>
  </si>
  <si>
    <t>JG6BWH5E</t>
  </si>
  <si>
    <t>74REX6EC</t>
  </si>
  <si>
    <t>Applicazione e sperimentazione del Protocollo APCM in un campione di bambini con Disturbo Specifico del Linguaggio</t>
  </si>
  <si>
    <t>T8WJNNZB</t>
  </si>
  <si>
    <t>13704</t>
  </si>
  <si>
    <t>Model-Driven Engineering in Digital Thread Platforms</t>
  </si>
  <si>
    <t>ELNE3KMD</t>
  </si>
  <si>
    <t>Hussmann, Heinrich; Meixner, Gerrit; Zuehlke, Detlef</t>
  </si>
  <si>
    <t>N2RIC6ZS</t>
  </si>
  <si>
    <t>6B242PFY</t>
  </si>
  <si>
    <t>6645</t>
  </si>
  <si>
    <t>VIDEAS</t>
  </si>
  <si>
    <t>Delgrande, James P.; Faber, Wolfgang</t>
  </si>
  <si>
    <t>7F5KNNYS</t>
  </si>
  <si>
    <t>5235</t>
  </si>
  <si>
    <t>Lämmel, Ralf; Visser, Joost; Saraiva, João</t>
  </si>
  <si>
    <t>9TRK9JP6</t>
  </si>
  <si>
    <t>8941</t>
  </si>
  <si>
    <t>Braga, Christiano; Martí-Oliet, Narciso</t>
  </si>
  <si>
    <t>B9FX778E</t>
  </si>
  <si>
    <t>450</t>
  </si>
  <si>
    <t>Blockchain Application Development Using Model-Driven Engineering and Low-Code Platforms</t>
  </si>
  <si>
    <t>Augusto, Adriano; Gill, Asif; Bork, Dominik; Nurcan, Selmin; Reinhartz-Berger, Iris; Schmidt, Rainer</t>
  </si>
  <si>
    <t>8D93BI6S</t>
  </si>
  <si>
    <t>255</t>
  </si>
  <si>
    <t>Rocha, Álvaro; Fajardo-Toro, Carlos Hernan; Rodríguez, José María Riola</t>
  </si>
  <si>
    <t>2HG9CIX8</t>
  </si>
  <si>
    <t>AStA Adv Stat Anal</t>
  </si>
  <si>
    <t>CDTSBTMD</t>
  </si>
  <si>
    <t>8802</t>
  </si>
  <si>
    <t>4QCTICPX</t>
  </si>
  <si>
    <t>918</t>
  </si>
  <si>
    <t>IoTV</t>
  </si>
  <si>
    <t>Rocha, Álvaro; Ferrás, Carlos; Paredes, Manolo</t>
  </si>
  <si>
    <t>VX77KUG3</t>
  </si>
  <si>
    <t>88</t>
  </si>
  <si>
    <t>Barjis, Joseph; Eldabi, Tillal; Gupta, Ashish</t>
  </si>
  <si>
    <t>V2KCBP2I</t>
  </si>
  <si>
    <t>4555</t>
  </si>
  <si>
    <t>Stephanidis, Constantine</t>
  </si>
  <si>
    <t>MPVCG2T8</t>
  </si>
  <si>
    <t>13372</t>
  </si>
  <si>
    <t>Hemiola</t>
  </si>
  <si>
    <t>Shoham, Sharon; Vizel, Yakir</t>
  </si>
  <si>
    <t>7XYF9K47</t>
  </si>
  <si>
    <t>12762</t>
  </si>
  <si>
    <t>Kurosu, Masaaki</t>
  </si>
  <si>
    <t>GPATSNAB</t>
  </si>
  <si>
    <t>6788</t>
  </si>
  <si>
    <t>Weyns, Danny; Gleizes, Marie-Pierre</t>
  </si>
  <si>
    <t>4NWKZSVD</t>
  </si>
  <si>
    <t>Tsihrintzis, George A.; Damiani, Ernesto; Virvou, Maria; Howlett, Robert J.; Jain, Lakhmi C.</t>
  </si>
  <si>
    <t>Howlett, Robert J.; Jain, Lakhmi C.</t>
  </si>
  <si>
    <t>4AK77HDH</t>
  </si>
  <si>
    <t>Ahmed, Iftikhar; Chen, Zhizhang</t>
  </si>
  <si>
    <t>TVUKN6HF</t>
  </si>
  <si>
    <t>5670</t>
  </si>
  <si>
    <t>Chang, Maiga; Kuo, Rita; Kinshuk; Chen, Gwo-Dong; Hirose, Michitaka</t>
  </si>
  <si>
    <t>HXNEJGI6</t>
  </si>
  <si>
    <t>Batra, Romesh C.</t>
  </si>
  <si>
    <t>FA43WJR4</t>
  </si>
  <si>
    <t>11426</t>
  </si>
  <si>
    <t>$$\textsc {Wys}^\star $$</t>
  </si>
  <si>
    <t>Nielson, Flemming; Sands, David</t>
  </si>
  <si>
    <t>H8H4RGVW</t>
  </si>
  <si>
    <t>HE7UK7HN</t>
  </si>
  <si>
    <t>9DAZTKLP</t>
  </si>
  <si>
    <t>CQWHAEQU</t>
  </si>
  <si>
    <t>8327</t>
  </si>
  <si>
    <t>Geffert, Viliam; Preneel, Bart; Rovan, Branislav; Štuller, Július; Tjoa, A Min</t>
  </si>
  <si>
    <t>N3M3ZV83</t>
  </si>
  <si>
    <t>10714</t>
  </si>
  <si>
    <t>RAIL</t>
  </si>
  <si>
    <t>Cheok, Adrian David; Inami, Masahiko; Romão, Teresa</t>
  </si>
  <si>
    <t>D7V59YT8</t>
  </si>
  <si>
    <t>861</t>
  </si>
  <si>
    <t>Wu, Meiping; Niu, Yifeng; Gu, Mancang; Cheng, Jin</t>
  </si>
  <si>
    <t>GQJETB7Q</t>
  </si>
  <si>
    <t>6496</t>
  </si>
  <si>
    <t>Patel-Schneider, Peter F.; Pan, Yue; Hitzler, Pascal; Mika, Peter; Zhang, Lei; Pan, Jeff Z.; Horrocks, Ian; Glimm, Birte</t>
  </si>
  <si>
    <t>R5LIQIJJ</t>
  </si>
  <si>
    <t>Serrhini, Mohammed; Silva, Carla; Aljahdali, Sultan</t>
  </si>
  <si>
    <t>DFMFVS7R</t>
  </si>
  <si>
    <t>4ARZ9IA8</t>
  </si>
  <si>
    <t>7857</t>
  </si>
  <si>
    <t>Biere, Armin; Nahir, Amir; Vos, Tanja</t>
  </si>
  <si>
    <t>76D3GMFG</t>
  </si>
  <si>
    <t>L8U5ZGGQ</t>
  </si>
  <si>
    <t>Grand challenges in model-driven engineering</t>
  </si>
  <si>
    <t>2Z8A7W6R</t>
  </si>
  <si>
    <t>92</t>
  </si>
  <si>
    <t>Novais, Paulo; Preuveneers, Davy; Corchado, Juan M.</t>
  </si>
  <si>
    <t>8MIMXQAA</t>
  </si>
  <si>
    <t>35</t>
  </si>
  <si>
    <t>9L5CYHF8</t>
  </si>
  <si>
    <t>1053</t>
  </si>
  <si>
    <t>Lee, Roger</t>
  </si>
  <si>
    <t>2LF93V4B</t>
  </si>
  <si>
    <t>10331</t>
  </si>
  <si>
    <t>André, Elisabeth; Baker, Ryan; Hu, Xiangen; Rodrigo, Ma. Mercedes T.; du Boulay, Benedict</t>
  </si>
  <si>
    <t>2QAK5J6M</t>
  </si>
  <si>
    <t>The Smart Grid Simulation Framework</t>
  </si>
  <si>
    <t>E64VZEL7</t>
  </si>
  <si>
    <t>LPAS2ZP5</t>
  </si>
  <si>
    <t>MH7CIGKS</t>
  </si>
  <si>
    <t>263</t>
  </si>
  <si>
    <t>Bouabana-Tebibel, Thouraya; Rubin, Stuart H.</t>
  </si>
  <si>
    <t>JILBA6VG</t>
  </si>
  <si>
    <t>Rettberg, Achim; Zanella, Mauro C.; Amann, Michael; Keckeisen, Michael; Rammig, Franz J.</t>
  </si>
  <si>
    <t>ILTTHWYE</t>
  </si>
  <si>
    <t>6YV9TJ2U</t>
  </si>
  <si>
    <t>5881</t>
  </si>
  <si>
    <t>Balancing Organizational Regulation and Agent Autonomy</t>
  </si>
  <si>
    <t>Aldewereld, Huib; Dignum, Virginia; Picard, Gauthier</t>
  </si>
  <si>
    <t>8JN8AVZF</t>
  </si>
  <si>
    <t>5616</t>
  </si>
  <si>
    <t>P3EM8Y96</t>
  </si>
  <si>
    <t>63</t>
  </si>
  <si>
    <t>GQQ3ZA4A</t>
  </si>
  <si>
    <t>Y8P7JJNE</t>
  </si>
  <si>
    <t>HJRRNK3V</t>
  </si>
  <si>
    <t>EMCYJ7PV</t>
  </si>
  <si>
    <t>11082</t>
  </si>
  <si>
    <t>Pammer-Schindler, Viktoria; Pérez-Sanagustín, Mar; Drachsler, Hendrik; Elferink, Raymond; Scheffel, Maren</t>
  </si>
  <si>
    <t>Q6KG48E7</t>
  </si>
  <si>
    <t>YWTB4N5Y</t>
  </si>
  <si>
    <t>HDPT2RXY</t>
  </si>
  <si>
    <t>4KQEIU4F</t>
  </si>
  <si>
    <t>PL8EJID4</t>
  </si>
  <si>
    <t>ERK5949W</t>
  </si>
  <si>
    <t>NE9EQPJ5</t>
  </si>
  <si>
    <t>PW53IPRE</t>
  </si>
  <si>
    <t>BERRNT8K</t>
  </si>
  <si>
    <t>7RLH5MIU</t>
  </si>
  <si>
    <t>DKP9E2W3</t>
  </si>
  <si>
    <t>JCZXZSYY</t>
  </si>
  <si>
    <t>QLLPHFP4</t>
  </si>
  <si>
    <t>6D9HG4YD</t>
  </si>
  <si>
    <t>2HWGQNWQ</t>
  </si>
  <si>
    <t>K6PV4SHD</t>
  </si>
  <si>
    <t>92XZW2S6</t>
  </si>
  <si>
    <t>DF4VDMWZ</t>
  </si>
  <si>
    <t>V5RZQSLB</t>
  </si>
  <si>
    <t>DUW7WGX8</t>
  </si>
  <si>
    <t>3MBPAH4P</t>
  </si>
  <si>
    <t>L6XLAYR6</t>
  </si>
  <si>
    <t>3RKQHPRM</t>
  </si>
  <si>
    <t>6NIS8GB3</t>
  </si>
  <si>
    <t>92JNZEQK</t>
  </si>
  <si>
    <t>SQL4GC4A</t>
  </si>
  <si>
    <t>5CF8BD3U</t>
  </si>
  <si>
    <t>99ZKMPFR</t>
  </si>
  <si>
    <t>62L9HBU2</t>
  </si>
  <si>
    <t>38</t>
  </si>
  <si>
    <t>TDTDI5AW</t>
  </si>
  <si>
    <t>H6TZ4L6X</t>
  </si>
  <si>
    <t>74NPZ62D</t>
  </si>
  <si>
    <t>WWGNKX38</t>
  </si>
  <si>
    <t>SEI9EY6G</t>
  </si>
  <si>
    <t>IDEECWJE</t>
  </si>
  <si>
    <t>BDPZMYBQ</t>
  </si>
  <si>
    <t>4Y7CPA38</t>
  </si>
  <si>
    <t>WL254PQW</t>
  </si>
  <si>
    <t>NVGWNYQV</t>
  </si>
  <si>
    <t>8EKKM9UI</t>
  </si>
  <si>
    <t>YLXBCU9U</t>
  </si>
  <si>
    <t>RR9D5CQ4</t>
  </si>
  <si>
    <t>3NA9WJ7X</t>
  </si>
  <si>
    <t>FQSA4P4V</t>
  </si>
  <si>
    <t>WKNCEZUU</t>
  </si>
  <si>
    <t>876WKLFI</t>
  </si>
  <si>
    <t>AAA697DS</t>
  </si>
  <si>
    <t>MYL7QZME</t>
  </si>
  <si>
    <t>VULWE33H</t>
  </si>
  <si>
    <t>BAQPHVL9</t>
  </si>
  <si>
    <t>DVS2X2UQ</t>
  </si>
  <si>
    <t>3LSK6QLN</t>
  </si>
  <si>
    <t>HB3X2ACP</t>
  </si>
  <si>
    <t>LRCAKMIH</t>
  </si>
  <si>
    <t>DVIJ6GNS</t>
  </si>
  <si>
    <t>DL7QH2HL</t>
  </si>
  <si>
    <t>99EM7C5S</t>
  </si>
  <si>
    <t>SFS9LRFW</t>
  </si>
  <si>
    <t>EUAGZAXC</t>
  </si>
  <si>
    <t>6JDAB3G3</t>
  </si>
  <si>
    <t>7MX2S8Z2</t>
  </si>
  <si>
    <t>FJQWD6QC</t>
  </si>
  <si>
    <t>NDD6WRD9</t>
  </si>
  <si>
    <t>1 citations (Semantic Scholar/DOI) [2022-11-22] event-place: Pittsburgh, Pennsylvania</t>
  </si>
  <si>
    <t>TUVJYC9Y</t>
  </si>
  <si>
    <t>0 citations (Semantic Scholar/DOI) [2022-11-22] event-place: Online, Germany</t>
  </si>
  <si>
    <t>8MCTVBF8</t>
  </si>
  <si>
    <t>40 citations (Semantic Scholar/DOI) [2022-11-22] event-place: Cambridge, Massachusetts</t>
  </si>
  <si>
    <t>BRJUTPWI</t>
  </si>
  <si>
    <t>35 citations (Semantic Scholar/DOI) [2022-11-22] Publisher: VLDB Endowment</t>
  </si>
  <si>
    <t>YX7AF9MH</t>
  </si>
  <si>
    <t>0 citations (Semantic Scholar/DOI) [2022-11-22] event-place: Virtual, Canada</t>
  </si>
  <si>
    <t>HEM3PN5Z</t>
  </si>
  <si>
    <t>52 citations (Semantic Scholar/DOI) [2022-11-22] event-place: Phoenix, AZ, USA</t>
  </si>
  <si>
    <t>5XR5TF6R</t>
  </si>
  <si>
    <t>124 citations (Semantic Scholar/DOI) [2022-11-22] event-place: Shanghai, China</t>
  </si>
  <si>
    <t>K2BW2JS5</t>
  </si>
  <si>
    <t>9 citations (Semantic Scholar/DOI) [2022-11-22] event-place: Montreal, Quebec, Canada</t>
  </si>
  <si>
    <t>BV694UPJ</t>
  </si>
  <si>
    <t>FGFSF966</t>
  </si>
  <si>
    <t>4 citations (Semantic Scholar/DOI) [2022-11-22] event-place: Seoul, Republic of Korea</t>
  </si>
  <si>
    <t>JQ8HLMVT</t>
  </si>
  <si>
    <t>5 citations (Semantic Scholar/DOI) [2022-11-22] event-place: Virtual Event, Canada</t>
  </si>
  <si>
    <t>TVRKILK7</t>
  </si>
  <si>
    <t>0 citations (Semantic Scholar/DOI) [2022-11-22] Place: New York, NY, USA Publisher: Association for Computing Machinery</t>
  </si>
  <si>
    <t>Q8P9MSHY</t>
  </si>
  <si>
    <t>11 citations (Semantic Scholar/DOI) [2022-11-22] event-place: Singapore, Singapore</t>
  </si>
  <si>
    <t>2QBH6JRS</t>
  </si>
  <si>
    <t>7 citations (Semantic Scholar/DOI) [2022-11-22] event-place: Virtual Event, Canada</t>
  </si>
  <si>
    <t>QVARZBGS</t>
  </si>
  <si>
    <t>1 citations (Semantic Scholar/DOI) [2022-11-22] event-place: Dresden, Germany</t>
  </si>
  <si>
    <t>BU8D6K79</t>
  </si>
  <si>
    <t>3 citations (Semantic Scholar/DOI) [2022-11-22] Publisher: VLDB Endowment</t>
  </si>
  <si>
    <t>C7LXP5IP</t>
  </si>
  <si>
    <t>9HFDQ9CL</t>
  </si>
  <si>
    <t>26 citations (Semantic Scholar/DOI) [2022-11-22] event-place: Halifax, NS, Canada</t>
  </si>
  <si>
    <t>BG4ZLLJG</t>
  </si>
  <si>
    <t>5 citations (Semantic Scholar/DOI) [2022-11-22] event-place: Boston, MA, USA</t>
  </si>
  <si>
    <t>WGHYU6CD</t>
  </si>
  <si>
    <t>8 citations (Semantic Scholar/DOI) [2022-11-22] event-place: Orlando, Florida, USA</t>
  </si>
  <si>
    <t>2 citations (Semantic Scholar/DOI) [2022-11-22] event-place: Austin, TX, USA</t>
  </si>
  <si>
    <t>DN5BAYIX</t>
  </si>
  <si>
    <t>23 citations (Semantic Scholar/DOI) [2022-11-22] event-place: Philadelphia, Pennsylvania</t>
  </si>
  <si>
    <t>7GR6YMM9</t>
  </si>
  <si>
    <t>4 citations (Semantic Scholar/DOI) [2022-11-22] Place: New York, NY, USA Publisher: Association for Computing Machinery</t>
  </si>
  <si>
    <t>PGQ4D6PV</t>
  </si>
  <si>
    <t>CE7WRK8Y</t>
  </si>
  <si>
    <t>80 citations (Semantic Scholar/DOI) [2022-11-22] event-place: Vienna, Austria</t>
  </si>
  <si>
    <t>42KRYEPM</t>
  </si>
  <si>
    <t>13 citations (Semantic Scholar/DOI) [2022-11-22] Place: New York, NY, USA Publisher: Association for Computing Machinery</t>
  </si>
  <si>
    <t>MY3ETZ6K</t>
  </si>
  <si>
    <t>3 citations (Semantic Scholar/DOI) [2022-11-22] event-place: Lausanne, Switzerland</t>
  </si>
  <si>
    <t>MBW36BEG</t>
  </si>
  <si>
    <t>10 citations (Semantic Scholar/DOI) [2022-11-22] event-place: San Diego, CA, USA</t>
  </si>
  <si>
    <t>8DPCGLP3</t>
  </si>
  <si>
    <t>0 citations (Semantic Scholar/DOI) [2022-11-22] event-place: Virtual Event</t>
  </si>
  <si>
    <t>FPXZCINZ</t>
  </si>
  <si>
    <t>18 citations (Semantic Scholar/DOI) [2022-11-22] event-place: Paris, France</t>
  </si>
  <si>
    <t>HYBA93SD</t>
  </si>
  <si>
    <t>124 citations (Semantic Scholar/DOI) [2022-11-22] event-place: Vienna, Austria</t>
  </si>
  <si>
    <t>K2ZX25IW</t>
  </si>
  <si>
    <t>1 citations (Semantic Scholar/DOI) [2022-11-22] Publisher: VLDB Endowment</t>
  </si>
  <si>
    <t>VIPUPT4D</t>
  </si>
  <si>
    <t>123 citations (Semantic Scholar/DOI) [2022-11-22] event-place: Philadelphia, PA, USA</t>
  </si>
  <si>
    <t>YTUW9Y7Z</t>
  </si>
  <si>
    <t>4 citations (Semantic Scholar/DOI) [2022-11-22] event-place: Berlin, Germany</t>
  </si>
  <si>
    <t>B74RPBCL</t>
  </si>
  <si>
    <t>24 citations (Semantic Scholar/DOI) [2022-11-22] event-place: Namur, Belgium</t>
  </si>
  <si>
    <t>QMNVR4IJ</t>
  </si>
  <si>
    <t>109 citations (Semantic Scholar/DOI) [2022-11-22] event-place: Phoenix, AZ, USA</t>
  </si>
  <si>
    <t>ZMAG7CLE</t>
  </si>
  <si>
    <t>1 citations (Semantic Scholar/DOI) [2022-11-22] event-place: Montreal, Quebec, Canada</t>
  </si>
  <si>
    <t>569EDAZF</t>
  </si>
  <si>
    <t>2 citations (Semantic Scholar/DOI) [2022-11-22] event-place: Virtual Event, Canada</t>
  </si>
  <si>
    <t>CTD9MDSB</t>
  </si>
  <si>
    <t>0 citations (Semantic Scholar/DOI) [2022-11-22] event-place: Virtual Event, Canada</t>
  </si>
  <si>
    <t>S8L3LBBY</t>
  </si>
  <si>
    <t>4 citations (Semantic Scholar/DOI) [2022-11-22] event-place: St. Goar, Germany</t>
  </si>
  <si>
    <t>GEFELKS3</t>
  </si>
  <si>
    <t>0 citations (Semantic Scholar/DOI) [2022-11-22] event-place: Kyoto, Japan</t>
  </si>
  <si>
    <t>JBEWB6M9</t>
  </si>
  <si>
    <t>9 citations (Semantic Scholar/DOI) [2022-11-22] Place: New York, NY, USA Publisher: Association for Computing Machinery</t>
  </si>
  <si>
    <t>GCGIT5A5</t>
  </si>
  <si>
    <t>0 citations (Semantic Scholar/DOI) [2022-11-22] Publisher: VLDB Endowment</t>
  </si>
  <si>
    <t>TB847XCM</t>
  </si>
  <si>
    <t>1 citations (Semantic Scholar/DOI) [2022-11-22] event-place: Canterbury, CA, United Kingdom</t>
  </si>
  <si>
    <t>VHICHB9S</t>
  </si>
  <si>
    <t>17 citations (Semantic Scholar/DOI) [2022-11-22] event-place: Ottawa, Ontario, Canada</t>
  </si>
  <si>
    <t>RCIBF7GX</t>
  </si>
  <si>
    <t>35 citations (Semantic Scholar/DOI) [2022-11-22]</t>
  </si>
  <si>
    <t>98PPYQIJ</t>
  </si>
  <si>
    <t>28</t>
  </si>
  <si>
    <t>Form. Asp. Comput.</t>
  </si>
  <si>
    <t>6 citations (Semantic Scholar/DOI) [2022-11-22]</t>
  </si>
  <si>
    <t>EC64PITL</t>
  </si>
  <si>
    <t>Understanding MDE projects</t>
  </si>
  <si>
    <t>5 citations (Semantic Scholar/DOI) [2022-11-22]</t>
  </si>
  <si>
    <t>7J7DTY5N</t>
  </si>
  <si>
    <t>SN COMPUT. SCI.</t>
  </si>
  <si>
    <t>0 citations (Semantic Scholar/DOI) [2022-11-22]</t>
  </si>
  <si>
    <t>ZSQ3IVXU</t>
  </si>
  <si>
    <t>Metamodeling and multicriteria analysis for sustainable and passive residential building refurbishment</t>
  </si>
  <si>
    <t>4 citations (Semantic Scholar/DOI) [2022-11-22]</t>
  </si>
  <si>
    <t>U8XDTL4P</t>
  </si>
  <si>
    <t>Arch Computat Methods Eng</t>
  </si>
  <si>
    <t>Domain-Specific Language Techniques for Visual Computing</t>
  </si>
  <si>
    <t>10 citations (Semantic Scholar/DOI) [2022-11-22]</t>
  </si>
  <si>
    <t>ET3U8X5M</t>
  </si>
  <si>
    <t>8 citations (Semantic Scholar/DOI) [2022-11-22]</t>
  </si>
  <si>
    <t>HLLB2P5W</t>
  </si>
  <si>
    <t>RSL-IL4Privacy</t>
  </si>
  <si>
    <t>25 citations (Semantic Scholar/DOI) [2022-11-22]</t>
  </si>
  <si>
    <t>RARXA6VY</t>
  </si>
  <si>
    <t>Adv. Model. and Simul. in Eng. Sci.</t>
  </si>
  <si>
    <t>Metamodeling techniques for CPU-intensive simulation-based design optimization</t>
  </si>
  <si>
    <t>2 citations (Semantic Scholar/DOI) [2022-11-22]</t>
  </si>
  <si>
    <t>3796JFYR</t>
  </si>
  <si>
    <t>11 citations (Semantic Scholar/DOI) [2022-11-22]</t>
  </si>
  <si>
    <t>4Z9WW4W4</t>
  </si>
  <si>
    <t>J. Cent. South Univ. Technol.</t>
  </si>
  <si>
    <t>26 citations (Semantic Scholar/DOI) [2022-11-22]</t>
  </si>
  <si>
    <t>Hammoudi, Slimane; Pires, Luís Ferreira; Seidewitz, Edwin; Soley, Richard</t>
  </si>
  <si>
    <t>9FSARRET</t>
  </si>
  <si>
    <t>DFHPWT8X</t>
  </si>
  <si>
    <t>125</t>
  </si>
  <si>
    <t>E3RZ35LZ</t>
  </si>
  <si>
    <t>TALISMAN MDE Framework</t>
  </si>
  <si>
    <t>8RC6BWB6</t>
  </si>
  <si>
    <t>4TJQZERC</t>
  </si>
  <si>
    <t>AZ4AEJ6J</t>
  </si>
  <si>
    <t>DPT5MS8D</t>
  </si>
  <si>
    <t>HEYU4F9C</t>
  </si>
  <si>
    <t>XEMRFK3W</t>
  </si>
  <si>
    <t>TZ972UIQ</t>
  </si>
  <si>
    <t>FMUMVFB3</t>
  </si>
  <si>
    <t>BBH3G6Q5</t>
  </si>
  <si>
    <t>3JMBNXNC</t>
  </si>
  <si>
    <t>UGMCVJAD</t>
  </si>
  <si>
    <t>XC3VU74I</t>
  </si>
  <si>
    <t>BNDYVPA8</t>
  </si>
  <si>
    <t>LLF7Q3BB</t>
  </si>
  <si>
    <t>7ZRA8GEM</t>
  </si>
  <si>
    <t>N9B87EQ6</t>
  </si>
  <si>
    <t>GLNKTAB6</t>
  </si>
  <si>
    <t>RP428VQX</t>
  </si>
  <si>
    <t>Artificial Intelligence and Advanced Time Series Classification</t>
  </si>
  <si>
    <t>Choi, Paul Moon Sub; Huang, Seth H.</t>
  </si>
  <si>
    <t>GITSQTD6</t>
  </si>
  <si>
    <t>65</t>
  </si>
  <si>
    <t>Deep learning-based efficient metamodeling via domain knowledge-integrated designable data augmentation with transfer learning</t>
  </si>
  <si>
    <t>ZRFSIFZ3</t>
  </si>
  <si>
    <t>6834E63Y</t>
  </si>
  <si>
    <t>abs/2011.05194</t>
  </si>
  <si>
    <t>7H7NIDXL</t>
  </si>
  <si>
    <t>Inf Syst Front</t>
  </si>
  <si>
    <t>U2MSRP79</t>
  </si>
  <si>
    <t>Dinkelaker, Tom; Noyé, Jacques; Tanter, Éric</t>
  </si>
  <si>
    <t>5GXB6N8W</t>
  </si>
  <si>
    <t>W8TWSR39</t>
  </si>
  <si>
    <t>Auton Agent Multi-Agent Syst</t>
  </si>
  <si>
    <t>R3Z6SWJS</t>
  </si>
  <si>
    <t>Pires, Luís Ferreira; Hammoudi, Slimane; Seidewitz, Edwin</t>
  </si>
  <si>
    <t>P-326</t>
  </si>
  <si>
    <t>Demmler, Daniel; Krupka, Daniel; Federrath, Hannes</t>
  </si>
  <si>
    <t>TIV26Z6I</t>
  </si>
  <si>
    <t>Arabnia, Hamid R.; Mun, Youngsong</t>
  </si>
  <si>
    <t>933RUWP4</t>
  </si>
  <si>
    <t>Arabnia, Hamid R.; Fuente, David de la; Olivas, José Angel</t>
  </si>
  <si>
    <t>NIKCIILR</t>
  </si>
  <si>
    <t>abs/2107.02692</t>
  </si>
  <si>
    <t>2245</t>
  </si>
  <si>
    <t>Hebig, Regina; Berger, Thorsten</t>
  </si>
  <si>
    <t>Leong, Hong Va; Sarvestani, Sahra Sedigh; Teranishi, Yuuichi; Cuzzocrea, Alfredo; Kashiwazaki, Hiroki; Towey, Dave; Yang, Ji-Jiang; Shahriar, Hossain</t>
  </si>
  <si>
    <t>3IEZ9KD7</t>
  </si>
  <si>
    <t>2350</t>
  </si>
  <si>
    <t>Martin, Andreas; Hinkelmann, Knut; Gerber, Aurona; Lenat, Doug; Harmelen, Frank van; Clark, Peter</t>
  </si>
  <si>
    <t>WCPPBIEQ</t>
  </si>
  <si>
    <t>138</t>
  </si>
  <si>
    <t>abs/2107.02689</t>
  </si>
  <si>
    <t>BAC5DM8A</t>
  </si>
  <si>
    <t>Hamza, M. H.</t>
  </si>
  <si>
    <t>FUGYPMHC</t>
  </si>
  <si>
    <t>Getoor, Lise; Scheffer, Tobias</t>
  </si>
  <si>
    <t>Markham, Annette N.; Powles, Julia; Walsh, Toby; Washington, Anne L.</t>
  </si>
  <si>
    <t>AQ4937MP</t>
  </si>
  <si>
    <t>Gangemi, Aldo; Leonardi, Stefano; Panconesi, Alessandro</t>
  </si>
  <si>
    <t>Z49BUE7Y</t>
  </si>
  <si>
    <t>685</t>
  </si>
  <si>
    <t>Yang, Xiaokang; Zhai, Guangtao</t>
  </si>
  <si>
    <t>E9LGQFTJ</t>
  </si>
  <si>
    <t>3339</t>
  </si>
  <si>
    <t>Webb, Geoffrey I.; Yu, Xinghuo</t>
  </si>
  <si>
    <t>S52EWK56</t>
  </si>
  <si>
    <t>FDGFXMG3</t>
  </si>
  <si>
    <t>NE3RVYL9</t>
  </si>
  <si>
    <t>13012</t>
  </si>
  <si>
    <t>Reinhartz-Berger, Iris; Sadiq, Shazia</t>
  </si>
  <si>
    <t>Hammoudi, Slimane; Pires, Luís Ferreira; Selic, Bran</t>
  </si>
  <si>
    <t>13709</t>
  </si>
  <si>
    <t>Taibi, Davide; Kuhrmann, Marco; Mikkonen, Tommi; Klünder, Jil; Abrahamsson, Pekka</t>
  </si>
  <si>
    <t>PZPE4P34</t>
  </si>
  <si>
    <t>DNUCQZPP</t>
  </si>
  <si>
    <t>HJJXDCA8</t>
  </si>
  <si>
    <t>JZ64NSNL</t>
  </si>
  <si>
    <t>PK45QPRH</t>
  </si>
  <si>
    <t>AKLUCMZS</t>
  </si>
  <si>
    <t>KMUE5MNP</t>
  </si>
  <si>
    <t>RTIH9SKF</t>
  </si>
  <si>
    <t>4PI2NFJN</t>
  </si>
  <si>
    <t>AKBG8GEH</t>
  </si>
  <si>
    <t>949</t>
  </si>
  <si>
    <t>Chinese Institute of Command and Control</t>
  </si>
  <si>
    <t>9EDYBTX5</t>
  </si>
  <si>
    <t>2323</t>
  </si>
  <si>
    <t>Frohner, Ákos</t>
  </si>
  <si>
    <t>TL3UQJUX</t>
  </si>
  <si>
    <t>904</t>
  </si>
  <si>
    <t>Hu, Yu-Chen; Tiwari, Shailesh; Mishra, Krishn K.; Trivedi, Munesh C.</t>
  </si>
  <si>
    <t>BITKAVI9</t>
  </si>
  <si>
    <t>36</t>
  </si>
  <si>
    <t>Acta Mech. Sin.</t>
  </si>
  <si>
    <t>7T53J8KF</t>
  </si>
  <si>
    <t>MMC-BPM</t>
  </si>
  <si>
    <t>Abramowicz, Witold</t>
  </si>
  <si>
    <t>SCVPKFLX</t>
  </si>
  <si>
    <t>JNMF4U98</t>
  </si>
  <si>
    <t>8769</t>
  </si>
  <si>
    <t>Amyot, Daniel; Fonseca i Casas, Pau; Mussbacher, Gunter</t>
  </si>
  <si>
    <t>863RDNC5</t>
  </si>
  <si>
    <t>7059</t>
  </si>
  <si>
    <t>Harth, Andreas; Koch, Nora</t>
  </si>
  <si>
    <t>AVFRM9M3</t>
  </si>
  <si>
    <t>415</t>
  </si>
  <si>
    <t>A Model-Driven Engineering Approach to Complex Performance Indicators</t>
  </si>
  <si>
    <t>Cherfi, Samira; Perini, Anna; Nurcan, Selmin</t>
  </si>
  <si>
    <t>84YREALP</t>
  </si>
  <si>
    <t>IDEXFYHU</t>
  </si>
  <si>
    <t>13295</t>
  </si>
  <si>
    <t>Towards Interoperable Metamodeling Platforms</t>
  </si>
  <si>
    <t>Franch, Xavier; Poels, Geert; Gailly, Frederik; Snoeck, Monique</t>
  </si>
  <si>
    <t>3IFRAS6Q</t>
  </si>
  <si>
    <t>13437</t>
  </si>
  <si>
    <t>4D-OR</t>
  </si>
  <si>
    <t>Wang, Linwei; Dou, Qi; Fletcher, P. Thomas; Speidel, Stefanie; Li, Shuo</t>
  </si>
  <si>
    <t>2RWF5W39</t>
  </si>
  <si>
    <t>H4NC4BXY</t>
  </si>
  <si>
    <t>J Mech Sci Technol</t>
  </si>
  <si>
    <t>VL9R5A7V</t>
  </si>
  <si>
    <t>Precision Agric</t>
  </si>
  <si>
    <t>AC6AVQ68</t>
  </si>
  <si>
    <t>275</t>
  </si>
  <si>
    <t>Ahram, Tareq Z.; Falcão, Christianne S.</t>
  </si>
  <si>
    <t>FN6Z4XHX</t>
  </si>
  <si>
    <t>237</t>
  </si>
  <si>
    <t>Ben Ahmed, Mohamed; Teodorescu, Horia-Nicolai L.; Mazri, Tomader; Subashini, Parthasarathy; Boudhir, Anouar Abdelhakim</t>
  </si>
  <si>
    <t>E8CWVKQQ</t>
  </si>
  <si>
    <t>520</t>
  </si>
  <si>
    <t>Khan, Mohammad Ayoub; Saeed, Saqib; Darwish, Ashraf; Abraham, Ajith</t>
  </si>
  <si>
    <t>H7DEBSM4</t>
  </si>
  <si>
    <t>4758</t>
  </si>
  <si>
    <t>Oquendo, Flavio</t>
  </si>
  <si>
    <t>NQXIDB6Y</t>
  </si>
  <si>
    <t>Space partitioning in piecewise metamodeling</t>
  </si>
  <si>
    <t>3SDW8W63</t>
  </si>
  <si>
    <t>PAPLZM4V</t>
  </si>
  <si>
    <t>Schema Matching in the Context of Model Driven Engineering</t>
  </si>
  <si>
    <t>RQKGLCMM</t>
  </si>
  <si>
    <t>40</t>
  </si>
  <si>
    <t>FAANLW8C</t>
  </si>
  <si>
    <t>T83BYDLR</t>
  </si>
  <si>
    <t>Rapid uncertainty quantification for non-linear and stochastic wind excited structures</t>
  </si>
  <si>
    <t>YLFHHCZ2</t>
  </si>
  <si>
    <t>7554</t>
  </si>
  <si>
    <t>de Carvalho Junior, Francisco Heron; Barbosa, Luis Soares</t>
  </si>
  <si>
    <t>PQAS3YG2</t>
  </si>
  <si>
    <t>Theor. Comput. Fluid Dyn.</t>
  </si>
  <si>
    <t>Convolutional neural networks for fluid flow analysis</t>
  </si>
  <si>
    <t>UD748A54</t>
  </si>
  <si>
    <t>12391</t>
  </si>
  <si>
    <t>Hartmann, Sven; Küng, Josef; Kotsis, Gabriele; Tjoa, A Min; Khalil, Ismail</t>
  </si>
  <si>
    <t>MKWVZGS8</t>
  </si>
  <si>
    <t>8914</t>
  </si>
  <si>
    <t>Altmann, Jörn; Vanmechelen, Kurt; Rana, Omer F.</t>
  </si>
  <si>
    <t>MXTDVXKS</t>
  </si>
  <si>
    <t>Biffl, Stefan; Eckhart, Matthias; Lüder, Arndt; Weippl, Edgar</t>
  </si>
  <si>
    <t>AGHKFCA8</t>
  </si>
  <si>
    <t>J Soils Sediments</t>
  </si>
  <si>
    <t>Membrane Dialysis Extraction (MDE)</t>
  </si>
  <si>
    <t>IKSVFULR</t>
  </si>
  <si>
    <t>GLBK5DP4</t>
  </si>
  <si>
    <t>WebDSL</t>
  </si>
  <si>
    <t>H8FNKV33</t>
  </si>
  <si>
    <t>Bossa Nova</t>
  </si>
  <si>
    <t>7RP966C3</t>
  </si>
  <si>
    <t>566</t>
  </si>
  <si>
    <t>VUL3JTBG</t>
  </si>
  <si>
    <t>Wireless Netw</t>
  </si>
  <si>
    <t>KQJZM7XD</t>
  </si>
  <si>
    <t>4W3JT6WR</t>
  </si>
  <si>
    <t>Villar, Eugenio; Mermet, Jean</t>
  </si>
  <si>
    <t>Y7M5RYCY</t>
  </si>
  <si>
    <t>J Control Autom Electr Syst</t>
  </si>
  <si>
    <t>Z8GF6PFP</t>
  </si>
  <si>
    <t>3016</t>
  </si>
  <si>
    <t>Lengauer, Christian; Batory, Don; Consel, Charles; Odersky, Martin</t>
  </si>
  <si>
    <t>Kanade, Takeo; Kittler, Josef; Kleinberg, Jon M.; Mattern, Friedemann; Mitchell, John C.; Naor, Moni; Nierstrasz, Oscar; Pandu Rangan, C.; Steffen, Bernhard; Sudan, Madhu; Terzopoulos, Demetri; Tygar, Dough; Vardi, Moshe Y.; Weikum, Gerhard</t>
  </si>
  <si>
    <t>EQX3A7LZ</t>
  </si>
  <si>
    <t>52</t>
  </si>
  <si>
    <t>VDMS94EN</t>
  </si>
  <si>
    <t>E4DG8B3N</t>
  </si>
  <si>
    <t>735</t>
  </si>
  <si>
    <t>Thampi, Sabu M.; Gelenbe, Erol; Atiquzzaman, Mohammed; Chaudhary, Vipin; Li, Kuan-Ching</t>
  </si>
  <si>
    <t>M464Q9VA</t>
  </si>
  <si>
    <t>8513</t>
  </si>
  <si>
    <t>Stephanidis, Constantine; Antona, Margherita</t>
  </si>
  <si>
    <t>Hutchison, David; Kanade, Takeo; Kittler, Josef; Kleinberg, Jon M.; Kobsa, Alfred; Mattern, Friedemann; Mitchell, John C.; Naor, Moni; Nierstrasz, Oscar; Pandu Rangan, C.; Steffen, Bernhard; Terzopoulos, Demetri; Tygar, Doug; Weikum, Gerhard</t>
  </si>
  <si>
    <t>3PUAG2EQ</t>
  </si>
  <si>
    <t>1771</t>
  </si>
  <si>
    <t>4PJD8DRJ</t>
  </si>
  <si>
    <t>786</t>
  </si>
  <si>
    <t>No</t>
  </si>
  <si>
    <t>Yes</t>
  </si>
  <si>
    <t>Frameworks (Methods &amp; Tools)</t>
  </si>
  <si>
    <t>Type of Publication</t>
  </si>
  <si>
    <t>Technical Paper</t>
  </si>
  <si>
    <t>Technical Paper (maybe exploratory paper)</t>
  </si>
  <si>
    <t>Fairness, Accountability and Transparency of Datasets</t>
  </si>
  <si>
    <t>Sirius Web</t>
  </si>
  <si>
    <t>Exploratory Paper</t>
  </si>
  <si>
    <t>None</t>
  </si>
  <si>
    <t>Jetbrains MPS</t>
  </si>
  <si>
    <t>Eclipse Modeling Framework (EMF)</t>
  </si>
  <si>
    <t>Empirical Paper</t>
  </si>
  <si>
    <t>Sportanalytics</t>
  </si>
  <si>
    <t>Exploratory Paper (Basis of Koseler)</t>
  </si>
  <si>
    <t>WebGME</t>
  </si>
  <si>
    <t>IoT/Industry</t>
  </si>
  <si>
    <t>GreyCat</t>
  </si>
  <si>
    <t>Papyrus; Xtext; ThingML</t>
  </si>
  <si>
    <t>IoT</t>
  </si>
  <si>
    <t>V3QBE3TK</t>
  </si>
  <si>
    <t>Kusmenko, Evgeny; Pavlitskaya, Svetlana; Rumpe, Bernhard; Stuber, Sebastian</t>
  </si>
  <si>
    <t>On the Engineering of AI-Powered Systems</t>
  </si>
  <si>
    <t>978-1-72814-136-7</t>
  </si>
  <si>
    <t>10.1109/ASEW.2019.00042</t>
  </si>
  <si>
    <t>https://ieeexplore.ieee.org/document/8967413/</t>
  </si>
  <si>
    <t>More and more tasks become solvable using deep learning technology nowadays. Consequently, the amount of neural network code in software rises continuously. To make the new paradigm more accessible, frameworks, languages, and tools keep emerging. Although, the maturity of these tools is steadily increasing, we still lack appropriate domain speciﬁc languages and a high degree of automation when it comes to deep learning for productive systems. In this paper we present a multi-paradigm language family allowing the AI engineer to model and train deep neural networks as well as to integrate them into software architectures containing classical code. Using input and output layers as strictly typed interfaces enables a seamless embedding of neural networks into component-based models. The lifecycle of deep learning components can then be governed by a compiler accordingly, e.g. detecting when (re-)training is necessary or when network weights can be shared between different network instances. We provide a compelling case study, where we train an autonomous vehicle for the TORCS simulator. Furthermore, we discuss how the methodology automates the AI development process if neural networks are changed or added to the system.</t>
  </si>
  <si>
    <t>2020-09-26 10:03:29</t>
  </si>
  <si>
    <t>126-133</t>
  </si>
  <si>
    <t>San Diego, CA, USA</t>
  </si>
  <si>
    <t>AVJUP5V9</t>
  </si>
  <si>
    <t>Kusmenko, Evgeny; Nickels, Sebastian; Pavlitskaya, Svetlana; Rumpe, Bernhard; Timmermanns, Thomas</t>
  </si>
  <si>
    <t>Modeling and Training of Neural Processing Systems</t>
  </si>
  <si>
    <t>10.1109/MODELS.2019.00012</t>
  </si>
  <si>
    <t>The field of deep learning has become more and more pervasive in the last years as we have seen varieties of problems being solved using neural processing techniques. Image analysis and detection, control, speech recognition, translation are only a few prominent examples tackled successfully by neural networks. Thereby, the discipline imposes a completely new problem solving paradigm requiring a rethinking of classical software development methods. The high demand for deep learning technology has led to a large amount of competing frameworks mostly having a Python interface - a quasi standard in the community. Although, existing tools often provide great flexibility and high performance, they still lack to deliver a completely domain oriented problem view. Furthermore, using neural networks as reusable building blocks with clear interfaces in productive systems is still a challenge. In this work we propose a domain specific modeling methodology tackling design, training, and integration of deep neural networks. Thereby, we distinguish between three main modeling concerns: architecture, training, and data. We integrate our methodology in a component-based modeling toolchain allowing one to employ and reuse neural networks in large software architectures.</t>
  </si>
  <si>
    <t>2019-09</t>
  </si>
  <si>
    <t>283-293</t>
  </si>
  <si>
    <t>Z6UVCL7I</t>
  </si>
  <si>
    <t>Gatto, Nicola; Kusmenko, Evgeny; Rumpe, Bernhard</t>
  </si>
  <si>
    <t>Modeling Deep Reinforcement Learning Based Architectures for Cyber-Physical Systems</t>
  </si>
  <si>
    <t>10.1109/MODELS-C.2019.00033</t>
  </si>
  <si>
    <t>Reinforcement learning is a sub-field of machine learning where an agent aims to learn a behavior or a policy maximizing a reward function by trial and error. The approach is particularly interesting for the design of autonomous cyber-physical systems such as self-driving cars. In this work we present a generative, domain-specific modeling framework for the design, training and integration of reinforcement learning systems. It consists of a neural network modeling language which is used to design the models to be trained, e.g. actor and critic networks, and a training language used to describe the training procedure and set the corresponding hyperparameters. The underlying component model allows the modeler to embed the trained networks in larger component &amp; connector architectures. We illustrate our framework by the example of a self-driving racing car.</t>
  </si>
  <si>
    <t>196-202</t>
  </si>
  <si>
    <t>5GDZMXTA</t>
  </si>
  <si>
    <t>Portugal, Ivens; Alencar, Paulo; Cowan, Donald</t>
  </si>
  <si>
    <t>A Survey on Domain-Specific Languages for Machine Learning in Big Data</t>
  </si>
  <si>
    <t>10.48550/ARXIV.1602.07637</t>
  </si>
  <si>
    <t>https://arxiv.org/abs/1602.07637</t>
  </si>
  <si>
    <t>The amount of data generated in the modern society is increasing rapidly. New problems and novel approaches of data capture, storage, analysis and visualization are responsible for the emergence of the Big Data research field. Machine Learning algorithms can be used in Big Data to make better and more accurate inferences. However, because of the challenges Big Data imposes, these algorithms need to be adapted and optimized to specific applications. One important decision made by software engineers is the choice of the language that is used in the implementation of these algorithms. Therefore, this literature survey identifies and describes domain-specific languages and frameworks used for Machine Learning in Big Data. By doing this, software engineers can then make more informed choices and beginners have an overview of the main languages used in this domain.</t>
  </si>
  <si>
    <t>2022-11-24 20:05:27</t>
  </si>
  <si>
    <t>Publisher: arXiv Version Number: 2</t>
  </si>
  <si>
    <t>63Y89P2Q</t>
  </si>
  <si>
    <t>Classification Algorithms Framework (CAF) to Enable Intelligent Systems Using JetBrains MPS Domain-Specific Languages Environment</t>
  </si>
  <si>
    <t>2169-3536</t>
  </si>
  <si>
    <t>10.1109/ACCESS.2020.2966630</t>
  </si>
  <si>
    <t>https://ieeexplore.ieee.org/document/8959196/</t>
  </si>
  <si>
    <t>2022-11-24 20:08:25</t>
  </si>
  <si>
    <t>14832-14840</t>
  </si>
  <si>
    <t>VSVTKZXP</t>
  </si>
  <si>
    <t>Bishop, Christopher M.</t>
  </si>
  <si>
    <t>Model-based machine learning</t>
  </si>
  <si>
    <t>Philosophical Transactions of the Royal Society A: Mathematical, Physical and Engineering Sciences</t>
  </si>
  <si>
    <t>10.1098/rsta.2012.0222</t>
  </si>
  <si>
    <t>https://royalsocietypublishing.org/doi/10.1098/rsta.2012.0222</t>
  </si>
  <si>
    <t>Several decades of research in the field of machine learning have resulted in a multitude of different algorithms for solving a broad range of problems. To tackle a new application, a researcher typically tries to map their problem onto one of these existing methods, often influenced by their familiarity with specific algorithms and by the availability of corresponding software implementations. In this study, we describe an alternative methodology for applying machine learning, in which a bespoke solution is formulated for each new application. The solution is expressed through a compact modelling language, and the corresponding custom machine learning code is then generated automatically. This model-based approach offers several major advantages, including the opportunity to create highly tailored models for specific scenarios, as well as rapid prototyping and comparison of a range of alternative models. Furthermore, newcomers to the field of machine learning do not have to learn about the huge range of traditional methods, but instead can focus their attention on understanding a single modelling environment. In this study, we show how probabilistic graphical models, coupled with efficient inference algorithms, provide a very flexible foundation for model-based machine learning, and we outline a large-scale commercial application of this framework involving tens of millions of users. We also describe the concept of probabilistic programming as a powerful software environment for model-based machine learning, and we discuss a specific probabilistic programming language called Infer.NET, which has been widely used in practical applications.</t>
  </si>
  <si>
    <t>2013-02-13</t>
  </si>
  <si>
    <t>2022-11-24 20:11:19</t>
  </si>
  <si>
    <t>20120222</t>
  </si>
  <si>
    <t>Publisher: Royal Society</t>
  </si>
  <si>
    <t>NW73NKWY</t>
  </si>
  <si>
    <t>Melchor, Fran; Rodriguez-Echeverria, Roberto; Conejero, José M.; Prieto, Álvaro E.; Gutiérrez, Juan D.</t>
  </si>
  <si>
    <t>A Model-Driven Approach for Systematic Reproducibility and Replicability of Data Science Projects</t>
  </si>
  <si>
    <t>978-3-031-07472-1</t>
  </si>
  <si>
    <t>10.1007/978-3-031-07472-1_9</t>
  </si>
  <si>
    <t>In the last few years, there has been an important increase in the number of tools and approaches to define pipelines that allow the development of data science projects. They allow not only the pipeline definition but also the code generation needed to execute the project providing an easy way to carry out the projects even for non-expert users. However, there are still some challenges that these tools do not address yet, e.g. the possibility of executing pipelines defined by using different tools or execute them in different environments (reproducibility and replicability) or models validation and verification by identifying inconsistent operations (intentionality). In order to alleviate these problems, this paper presents a Model-Driven framework for the definition of data science pipelines independent of the particular execution platform and tools. The framework relies on the separation of the pipeline definition into two different modelling layers: conceptual, where the data scientist may specify all the data and models operations to be carried out by the pipeline; operational, where the data engineer may describe the execution environment details where the operations (defined in the conceptual part) will be implemented. Based on this abstract definition and layers separation, the approach allows: the usage of different tools improving, thus, process replicability; the automation of the process execution, enhancing process reproducibility; and the definition of model verification rules, providing intentionality restrictions.</t>
  </si>
  <si>
    <t>147-163</t>
  </si>
  <si>
    <t>ANY24S8B</t>
  </si>
  <si>
    <t>Hartsell, Charles; Mahadevan, Nagabhushan; Ramakrishna, Shreyas; Dubey, Abhishek; Bapty, Theodore; Johnson, Taylor; Koutsoukos, Xenofon; Sztipanovits, Janos; Karsai, Gabor</t>
  </si>
  <si>
    <t>Model-based design for CPS with learning-enabled components</t>
  </si>
  <si>
    <t>Proceedings of the Workshop on Design Automation for CPS and IoT</t>
  </si>
  <si>
    <t>978-1-4503-6699-1</t>
  </si>
  <si>
    <t>10.1145/3313151.3313166</t>
  </si>
  <si>
    <t>https://doi.org/10.1145/3313151.3313166</t>
  </si>
  <si>
    <t>Recent advances in machine learning led to the appearance of Learning-Enabled Components (LECs) in Cyber-Physical Systems. LECs are being evaluated and used for various, complex functions including perception and control. However, very little tool support is available for design automation in such systems. This paper introduces an integrated toolchain that supports the architectural modeling of CPS with LECs, but also has extensive support for the engineering and integration of LECs, including support for training data collection, LEC training, LEC evaluation and verification, and system software deployment. Additionally, the toolsuite supports the modeling and analysis of safety cases - a critical part of the engineering process for mission and safety critical systems.</t>
  </si>
  <si>
    <t>2019-04-15</t>
  </si>
  <si>
    <t>2022-11-24</t>
  </si>
  <si>
    <t>1–9</t>
  </si>
  <si>
    <t>L7QXGU8P</t>
  </si>
  <si>
    <t>Lavoisier: A DSL for increasing the level of abstraction of data selection and formatting in data mining</t>
  </si>
  <si>
    <t>Journal of Computer Languages</t>
  </si>
  <si>
    <t>25901184</t>
  </si>
  <si>
    <t>10.1016/j.cola.2020.100987</t>
  </si>
  <si>
    <t>https://linkinghub.elsevier.com/retrieve/pii/S2590118420300472</t>
  </si>
  <si>
    <t>2022-11-24 20:30:27</t>
  </si>
  <si>
    <t>100987</t>
  </si>
  <si>
    <t>YTXBX3EZ</t>
  </si>
  <si>
    <t>Atouani, Abdallah; Kirchhof, Jörg Christian; Kusmenko, Evgeny; Rumpe, Bernhard</t>
  </si>
  <si>
    <t>Artifact and reference models for generative machine learning frameworks and build systems</t>
  </si>
  <si>
    <t>Proceedings of the 20th ACM SIGPLAN International Conference on Generative Programming: Concepts and Experiences</t>
  </si>
  <si>
    <t>978-1-4503-9112-2</t>
  </si>
  <si>
    <t>10.1145/3486609.3487199</t>
  </si>
  <si>
    <t>https://doi.org/10.1145/3486609.3487199</t>
  </si>
  <si>
    <t>Machine learning is a discipline which has become ubiquitous in the last few years. While the research of machine learning algorithms is very active and continues to reveal astonishing possibilities on a regular basis, the wide usage of these algorithms is shifting the research focus to the integration, maintenance, and evolution of AI-driven systems. Although there is a variety of machine learning frameworks on the market, there is little support for process automation and DevOps in machine learning-driven projects. In this paper, we discuss how metamodels can support the development of deep learning frameworks and help deal with the steadily increasing variety of learning algorithms. In particular, we present a deep learning-oriented artifact model which serves as a foundation for build automation and data management in iterative, machine learning-driven development processes. Furthermore, we show how schema and reference models can be used to structure and maintain a versatile deep learning framework. Feasibility is demonstrated on several state-of-the-art examples from the domains of image and natural language processing as well as decision making and autonomous driving.</t>
  </si>
  <si>
    <t>2021-11-22</t>
  </si>
  <si>
    <t>55–68</t>
  </si>
  <si>
    <t>T74GXRNC</t>
  </si>
  <si>
    <t>Zafar, Muhammad Nouman; Azam, Farooque; Rehman, Saad; Anwar, Muhammad Waseem</t>
  </si>
  <si>
    <t>A Systematic Review of Big Data Analytics Using Model Driven Engineering</t>
  </si>
  <si>
    <t>Proceedings of the 2017 International Conference on Cloud and Big Data Computing  - ICCBDC 2017</t>
  </si>
  <si>
    <t>978-1-4503-5343-4</t>
  </si>
  <si>
    <t>10.1145/3141128.3141138</t>
  </si>
  <si>
    <t>http://dl.acm.org/citation.cfm?doid=3141128.3141138</t>
  </si>
  <si>
    <t>2022-11-24 20:36:02</t>
  </si>
  <si>
    <t>ACM Press</t>
  </si>
  <si>
    <t>London, United Kingdom</t>
  </si>
  <si>
    <t>8AJBF667</t>
  </si>
  <si>
    <t>Berthold, Michael R.; Cebron, Nicolas; Dill, Fabian; Gabriel, Thomas R.; Kötter, Tobias; Meinl, Thorsten; Ohl, Peter; Thiel, Kilian; Wiswedel, Bernd</t>
  </si>
  <si>
    <t>KNIME - the Konstanz information miner: version 2.0 and beyond</t>
  </si>
  <si>
    <t>ACM SIGKDD Explorations Newsletter</t>
  </si>
  <si>
    <t>1931-0145</t>
  </si>
  <si>
    <t>10.1145/1656274.1656280</t>
  </si>
  <si>
    <t>https://doi.org/10.1145/1656274.1656280</t>
  </si>
  <si>
    <t>The Konstanz Information Miner is a modular environment, which enables easy visual assembly and interactive execution of a data pipeline. It is designed as a teaching, research and collaboration platform, which enables simple integration of new algorithms and tools as well as data manipulation or visualization methods in the form of new modules or nodes. In this paper we describe some of the design aspects of the underlying architecture, briey sketch how new nodes can be incorporated, and highlight some of the new features of version 2.0.</t>
  </si>
  <si>
    <t>2009-11-16</t>
  </si>
  <si>
    <t>2022-11-25 08:10:54</t>
  </si>
  <si>
    <t>26–31</t>
  </si>
  <si>
    <t>6NTZWCVK</t>
  </si>
  <si>
    <t>Rajbhoj, Asha; Kulkarni, Vinay; Bellarykar, Nikhil</t>
  </si>
  <si>
    <t>Early Experience with Model-Driven Development of MapReduce Based Big Data Application</t>
  </si>
  <si>
    <t>2014 21st Asia-Pacific Software Engineering Conference</t>
  </si>
  <si>
    <t>978-1-4799-7425-2 978-1-4799-7426-9</t>
  </si>
  <si>
    <t>10.1109/APSEC.2014.23</t>
  </si>
  <si>
    <t>http://ieeexplore.ieee.org/document/7091296/</t>
  </si>
  <si>
    <t>2014-12</t>
  </si>
  <si>
    <t>2022-11-25 11:57:57</t>
  </si>
  <si>
    <t>94-97</t>
  </si>
  <si>
    <t>Jeju, South Korea</t>
  </si>
  <si>
    <t>11 citations (Semantic Scholar/DOI) [2022-11-27]</t>
  </si>
  <si>
    <t>CTCP4BER</t>
  </si>
  <si>
    <t>Guerriero, Michele; Tajfar, Saeed; Tamburri, Damian A.; Di Nitto, Elisabetta</t>
  </si>
  <si>
    <t>Towards a model-driven design tool for big data architectures</t>
  </si>
  <si>
    <t>Proceedings of the 2nd International Workshop on BIG Data Software Engineering - BIGDSE '16</t>
  </si>
  <si>
    <t>978-1-4503-4152-3</t>
  </si>
  <si>
    <t>10.1145/2896825.2896835</t>
  </si>
  <si>
    <t>http://dl.acm.org/citation.cfm?doid=2896825.2896835</t>
  </si>
  <si>
    <t>2022-11-25 11:59:37</t>
  </si>
  <si>
    <t>37-43</t>
  </si>
  <si>
    <t>Austin, Texas</t>
  </si>
  <si>
    <t>34 citations (Semantic Scholar/DOI) [2022-11-27]</t>
  </si>
  <si>
    <t>Artifacts Available</t>
  </si>
  <si>
    <t>Duplicate</t>
  </si>
  <si>
    <t>Datasets (Diabetes)</t>
  </si>
  <si>
    <t>yes</t>
  </si>
  <si>
    <t>Ecore; xtext</t>
  </si>
  <si>
    <t>Python (Fluent Interface language)</t>
  </si>
  <si>
    <t>Langium</t>
  </si>
  <si>
    <t>GreyCat; Sirius Web</t>
  </si>
  <si>
    <t>WebGME; GSN; SEAM; ROSMOD; DeepForge</t>
  </si>
  <si>
    <t>Papyrus; Epsilon</t>
  </si>
  <si>
    <t>MontiCore</t>
  </si>
  <si>
    <t>Ecore-based;</t>
  </si>
  <si>
    <t>Aloy; BPMN; Ecore; Jupyter Notebook; xtext</t>
  </si>
  <si>
    <t>Python; SQL</t>
  </si>
  <si>
    <t>Type of Application</t>
  </si>
  <si>
    <t>Unknown</t>
  </si>
  <si>
    <t>Business Intelligence</t>
  </si>
  <si>
    <t>Datasets</t>
  </si>
  <si>
    <t>Human related data</t>
  </si>
  <si>
    <t>CPS (Image)</t>
  </si>
  <si>
    <t>adaptive Virtual Learning Environment</t>
  </si>
  <si>
    <t>Research Question</t>
  </si>
  <si>
    <t>Motivation</t>
  </si>
  <si>
    <t>What language aspects of MDE are addressed in the approaches, e.g., abstract syntax, concrete syntax, metamodel, etc.?</t>
  </si>
  <si>
    <t>This RQ aims to assess the pillar concepts of MDE languages concerning comprehensiveness (of modeling) and applicability (maturity).</t>
  </si>
  <si>
    <t>Which phases of AI development aligned with the CRISP-DM methodology are covered by the approaches?</t>
  </si>
  <si>
    <t>This RQ assesses the extent to which the development phases of CRISP-DM are covered. As a result, implications can be made about the extent of support.</t>
  </si>
  <si>
    <t>Which industrial domains are supported by MDE for AI approaches?</t>
  </si>
  <si>
    <t>This RQ enables finding industries that are using MDE in the context of AI and thus driving the development of MDE for AI using domain-specific tools and methodologies towards the needs of the (specific) industry.</t>
  </si>
  <si>
    <t>What are the used methods and MDE tools the proposed approaches~rely on?</t>
  </si>
  <si>
    <t>This RQ allows assessing the underlying principles of methods used, e.g. SysML or MDE methods and the related toolchain such as WebGME. Consequently, further development can rely on these technologies to gain maturity instead of reinventing the wheel.</t>
  </si>
  <si>
    <t>To what extent is communication between different stakeholders supported by MDE?</t>
  </si>
  <si>
    <t>Communication and business knowledge elaboration are one of the core pitfalls in the development of AI solutions \cite{piorkowski_how_2021}. Therefore, this question aims to assess the contribution to support fostering AI in the industry.</t>
  </si>
  <si>
    <t>RQ6</t>
  </si>
  <si>
    <t>Which challenges and research directions are still open?</t>
  </si>
  <si>
    <t>This RQ will lead to future research directions and challenges for the model-based engineering of artificial intelligence applications due to a collection of limitations in the proposed approaches based on respective authors or our obtainment.</t>
  </si>
  <si>
    <t>Collection and comparison of studies on</t>
  </si>
  <si>
    <t>model-driven approaches that explicitly address the software architecture of</t>
  </si>
  <si>
    <t>artificial intelligence applications (machine learning, deep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</si>
</sst>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color theme="1"/>
      <name val="Calibri"/>
      <family val="2"/>
      <scheme val="minor"/>
    </font>
    <font>
      <sz val="10"/>
      <color rgb="FF000000"/>
      <name val="Calibri"/>
      <scheme val="minor"/>
    </font>
    <font>
      <b/>
      <sz val="10"/>
      <color theme="1"/>
      <name val="Arial"/>
    </font>
    <font>
      <b/>
      <i/>
      <sz val="10"/>
      <color theme="1"/>
      <name val="Arial"/>
    </font>
    <font>
      <sz val="10"/>
      <color theme="1"/>
      <name val="Arial"/>
    </font>
    <font>
      <i/>
      <sz val="10"/>
      <color theme="1"/>
      <name val="Arial"/>
    </font>
    <font>
      <i/>
      <sz val="10"/>
      <color rgb="FF222222"/>
      <name val="Arial"/>
    </font>
    <font>
      <i/>
      <sz val="10"/>
      <color rgb="FF222222"/>
      <name val="Arial, sans-serif"/>
    </font>
    <font>
      <b/>
      <i/>
      <sz val="10"/>
      <color rgb="FF222222"/>
      <name val="Arial, sans-serif"/>
    </font>
    <font>
      <sz val="10"/>
      <color theme="1"/>
      <name val="Arial"/>
      <family val="2"/>
    </font>
    <font>
      <sz val="10"/>
      <color rgb="FF000000"/>
      <name val="Arial"/>
      <family val="2"/>
    </font>
    <font>
      <b/>
      <sz val="10"/>
      <color theme="1"/>
      <name val="Arial"/>
      <family val="2"/>
    </font>
    <font>
      <sz val="8"/>
      <name val="Calibri"/>
      <family val="2"/>
      <scheme val="minor"/>
    </font>
    <font>
      <b/>
      <sz val="11"/>
      <color theme="0"/>
      <name val="Calibri"/>
      <family val="2"/>
      <scheme val="minor"/>
    </font>
    <font>
      <b/>
      <i/>
      <sz val="11"/>
      <color rgb="FF000000"/>
      <name val="Calibri"/>
      <family val="2"/>
      <scheme val="minor"/>
    </font>
    <font>
      <b/>
      <sz val="11"/>
      <color rgb="FF000000"/>
      <name val="Calibri"/>
      <family val="2"/>
      <scheme val="minor"/>
    </font>
    <font>
      <sz val="11"/>
      <color rgb="FF000000"/>
      <name val="Calibri"/>
      <family val="2"/>
      <scheme val="minor"/>
    </font>
  </fonts>
  <fills count="10">
    <fill>
      <patternFill patternType="none"/>
    </fill>
    <fill>
      <patternFill patternType="gray125"/>
    </fill>
    <fill>
      <patternFill patternType="solid">
        <fgColor rgb="FFFFFFFF"/>
        <bgColor rgb="FFFFFFFF"/>
      </patternFill>
    </fill>
    <fill>
      <patternFill patternType="solid">
        <fgColor theme="9" tint="0.79998168889431442"/>
        <bgColor theme="9" tint="0.79998168889431442"/>
      </patternFill>
    </fill>
    <fill>
      <patternFill patternType="solid">
        <fgColor theme="6"/>
        <bgColor theme="6"/>
      </patternFill>
    </fill>
    <fill>
      <patternFill patternType="solid">
        <fgColor theme="6" tint="0.79998168889431442"/>
        <bgColor theme="6" tint="0.79998168889431442"/>
      </patternFill>
    </fill>
    <fill>
      <patternFill patternType="solid">
        <fgColor theme="6" tint="0.59999389629810485"/>
        <bgColor theme="6" tint="0.59999389629810485"/>
      </patternFill>
    </fill>
    <fill>
      <patternFill patternType="solid">
        <fgColor rgb="FFFFFFFF"/>
        <bgColor indexed="64"/>
      </patternFill>
    </fill>
    <fill>
      <patternFill patternType="solid">
        <fgColor rgb="FFEDEDED"/>
        <bgColor indexed="64"/>
      </patternFill>
    </fill>
    <fill>
      <patternFill patternType="solid">
        <fgColor rgb="FFFFA48F"/>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theme="9" tint="0.39997558519241921"/>
      </left>
      <right/>
      <top style="thin">
        <color theme="9" tint="0.39997558519241921"/>
      </top>
      <bottom style="thin">
        <color theme="9" tint="0.39997558519241921"/>
      </bottom>
      <diagonal/>
    </border>
    <border>
      <left/>
      <right style="medium">
        <color rgb="FFC9C9C9"/>
      </right>
      <top/>
      <bottom/>
      <diagonal/>
    </border>
    <border>
      <left style="medium">
        <color rgb="FFC9C9C9"/>
      </left>
      <right style="medium">
        <color rgb="FFC9C9C9"/>
      </right>
      <top style="medium">
        <color rgb="FFC9C9C9"/>
      </top>
      <bottom/>
      <diagonal/>
    </border>
    <border>
      <left style="medium">
        <color rgb="FFC9C9C9"/>
      </left>
      <right style="medium">
        <color rgb="FFC9C9C9"/>
      </right>
      <top/>
      <bottom/>
      <diagonal/>
    </border>
    <border>
      <left style="medium">
        <color rgb="FFC9C9C9"/>
      </left>
      <right style="medium">
        <color rgb="FFC9C9C9"/>
      </right>
      <top/>
      <bottom style="medium">
        <color rgb="FFC9C9C9"/>
      </bottom>
      <diagonal/>
    </border>
    <border>
      <left/>
      <right/>
      <top style="thin">
        <color theme="9" tint="0.39997558519241921"/>
      </top>
      <bottom style="thin">
        <color theme="9" tint="0.39997558519241921"/>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medium">
        <color rgb="FFC9C9C9"/>
      </right>
      <top style="thin">
        <color theme="0"/>
      </top>
      <bottom/>
      <diagonal/>
    </border>
    <border>
      <left style="thin">
        <color theme="0"/>
      </left>
      <right/>
      <top style="thin">
        <color theme="0"/>
      </top>
      <bottom/>
      <diagonal/>
    </border>
    <border>
      <left style="thin">
        <color theme="0"/>
      </left>
      <right/>
      <top/>
      <bottom/>
      <diagonal/>
    </border>
    <border>
      <left style="medium">
        <color rgb="FFC9C9C9"/>
      </left>
      <right/>
      <top/>
      <bottom/>
      <diagonal/>
    </border>
    <border>
      <left style="thin">
        <color theme="0"/>
      </left>
      <right/>
      <top style="thin">
        <color theme="9" tint="0.39997558519241921"/>
      </top>
      <bottom/>
      <diagonal/>
    </border>
    <border>
      <left/>
      <right/>
      <top style="thin">
        <color theme="0"/>
      </top>
      <bottom/>
      <diagonal/>
    </border>
    <border>
      <left style="thin">
        <color theme="0"/>
      </left>
      <right/>
      <top style="medium">
        <color rgb="FFC9C9C9"/>
      </top>
      <bottom/>
      <diagonal/>
    </border>
    <border>
      <left/>
      <right/>
      <top style="medium">
        <color rgb="FFC9C9C9"/>
      </top>
      <bottom/>
      <diagonal/>
    </border>
    <border>
      <left style="medium">
        <color rgb="FFC9C9C9"/>
      </left>
      <right/>
      <top style="medium">
        <color rgb="FFC9C9C9"/>
      </top>
      <bottom/>
      <diagonal/>
    </border>
    <border>
      <left style="medium">
        <color rgb="FFC9C9C9"/>
      </left>
      <right/>
      <top style="thin">
        <color theme="0"/>
      </top>
      <bottom/>
      <diagonal/>
    </border>
    <border>
      <left/>
      <right style="medium">
        <color rgb="FFC9C9C9"/>
      </right>
      <top/>
      <bottom style="thin">
        <color theme="0"/>
      </bottom>
      <diagonal/>
    </border>
  </borders>
  <cellStyleXfs count="2">
    <xf numFmtId="0" fontId="0" fillId="0" borderId="0"/>
    <xf numFmtId="0" fontId="2" fillId="0" borderId="0"/>
  </cellStyleXfs>
  <cellXfs count="78">
    <xf numFmtId="0" fontId="0" fillId="0" borderId="0" xfId="0"/>
    <xf numFmtId="0" fontId="3" fillId="0" borderId="0" xfId="1" applyFont="1" applyAlignment="1">
      <alignment vertical="top"/>
    </xf>
    <xf numFmtId="0" fontId="3" fillId="0" borderId="1" xfId="1" applyFont="1" applyBorder="1" applyAlignment="1">
      <alignment vertical="top"/>
    </xf>
    <xf numFmtId="0" fontId="4" fillId="0" borderId="0" xfId="1" applyFont="1" applyAlignment="1">
      <alignment vertical="top" wrapText="1"/>
    </xf>
    <xf numFmtId="0" fontId="5" fillId="0" borderId="0" xfId="1" applyFont="1" applyAlignment="1">
      <alignment vertical="top"/>
    </xf>
    <xf numFmtId="0" fontId="2" fillId="0" borderId="0" xfId="1"/>
    <xf numFmtId="0" fontId="6" fillId="0" borderId="0" xfId="1" applyFont="1" applyAlignment="1">
      <alignment vertical="top"/>
    </xf>
    <xf numFmtId="0" fontId="6" fillId="0" borderId="1" xfId="1" applyFont="1" applyBorder="1" applyAlignment="1">
      <alignment vertical="top"/>
    </xf>
    <xf numFmtId="0" fontId="7" fillId="2" borderId="0" xfId="1" applyFont="1" applyFill="1" applyAlignment="1">
      <alignment horizontal="left"/>
    </xf>
    <xf numFmtId="0" fontId="10" fillId="0" borderId="1" xfId="1" applyFont="1" applyBorder="1" applyAlignment="1">
      <alignment vertical="top"/>
    </xf>
    <xf numFmtId="0" fontId="11" fillId="2" borderId="1" xfId="1" applyFont="1" applyFill="1" applyBorder="1" applyAlignment="1">
      <alignment horizontal="left"/>
    </xf>
    <xf numFmtId="0" fontId="5" fillId="0" borderId="2" xfId="1" applyFont="1" applyBorder="1" applyAlignment="1">
      <alignment vertical="top"/>
    </xf>
    <xf numFmtId="0" fontId="1" fillId="0" borderId="0" xfId="0" applyFont="1"/>
    <xf numFmtId="22" fontId="0" fillId="0" borderId="0" xfId="0" applyNumberFormat="1"/>
    <xf numFmtId="0" fontId="0" fillId="3" borderId="3" xfId="0" applyFill="1" applyBorder="1"/>
    <xf numFmtId="0" fontId="0" fillId="0" borderId="3" xfId="0" applyBorder="1"/>
    <xf numFmtId="0" fontId="0" fillId="3" borderId="0" xfId="0" applyFill="1"/>
    <xf numFmtId="14" fontId="0" fillId="0" borderId="0" xfId="0" applyNumberFormat="1"/>
    <xf numFmtId="0" fontId="0" fillId="3" borderId="8" xfId="0" applyFill="1" applyBorder="1"/>
    <xf numFmtId="22" fontId="0" fillId="3" borderId="8" xfId="0" applyNumberFormat="1" applyFill="1" applyBorder="1"/>
    <xf numFmtId="0" fontId="0" fillId="0" borderId="8" xfId="0" applyBorder="1"/>
    <xf numFmtId="22" fontId="0" fillId="0" borderId="8" xfId="0" applyNumberFormat="1" applyBorder="1"/>
    <xf numFmtId="0" fontId="14" fillId="4" borderId="9" xfId="0" applyFont="1" applyFill="1" applyBorder="1"/>
    <xf numFmtId="0" fontId="14" fillId="4" borderId="10" xfId="0" applyFont="1" applyFill="1" applyBorder="1"/>
    <xf numFmtId="14" fontId="14" fillId="4" borderId="10" xfId="0" applyNumberFormat="1" applyFont="1" applyFill="1" applyBorder="1"/>
    <xf numFmtId="0" fontId="0" fillId="0" borderId="11" xfId="0" applyBorder="1"/>
    <xf numFmtId="0" fontId="0" fillId="0" borderId="12" xfId="0" applyBorder="1"/>
    <xf numFmtId="22" fontId="0" fillId="0" borderId="12" xfId="0" applyNumberFormat="1" applyBorder="1"/>
    <xf numFmtId="0" fontId="14" fillId="0" borderId="9" xfId="0" applyFont="1" applyBorder="1"/>
    <xf numFmtId="0" fontId="14" fillId="0" borderId="10" xfId="0" applyFont="1" applyBorder="1"/>
    <xf numFmtId="14" fontId="14" fillId="0" borderId="10" xfId="0" applyNumberFormat="1" applyFont="1" applyBorder="1"/>
    <xf numFmtId="0" fontId="0" fillId="9" borderId="3" xfId="0" applyFill="1" applyBorder="1"/>
    <xf numFmtId="0" fontId="0" fillId="9" borderId="8" xfId="0" applyFill="1" applyBorder="1"/>
    <xf numFmtId="22" fontId="0" fillId="9" borderId="8" xfId="0" applyNumberFormat="1" applyFill="1" applyBorder="1"/>
    <xf numFmtId="0" fontId="0" fillId="9" borderId="0" xfId="0" applyFill="1"/>
    <xf numFmtId="0" fontId="0" fillId="5" borderId="14" xfId="0" applyFill="1" applyBorder="1"/>
    <xf numFmtId="0" fontId="15" fillId="7" borderId="18" xfId="0" applyFont="1" applyFill="1" applyBorder="1" applyAlignment="1">
      <alignment horizontal="right" vertical="center" wrapText="1"/>
    </xf>
    <xf numFmtId="0" fontId="16" fillId="7" borderId="14" xfId="0" applyFont="1" applyFill="1" applyBorder="1" applyAlignment="1">
      <alignment vertical="center" wrapText="1"/>
    </xf>
    <xf numFmtId="0" fontId="0" fillId="6" borderId="14" xfId="0" applyFill="1" applyBorder="1"/>
    <xf numFmtId="0" fontId="0" fillId="6" borderId="14" xfId="0" applyFill="1" applyBorder="1" applyAlignment="1">
      <alignment wrapText="1"/>
    </xf>
    <xf numFmtId="0" fontId="0" fillId="5" borderId="14" xfId="0" applyFill="1" applyBorder="1" applyAlignment="1">
      <alignment wrapText="1"/>
    </xf>
    <xf numFmtId="0" fontId="0" fillId="5" borderId="17" xfId="0" applyFill="1" applyBorder="1" applyAlignment="1">
      <alignment wrapText="1"/>
    </xf>
    <xf numFmtId="0" fontId="15" fillId="7" borderId="20" xfId="0" applyFont="1" applyFill="1" applyBorder="1" applyAlignment="1">
      <alignment horizontal="right" vertical="center" wrapText="1"/>
    </xf>
    <xf numFmtId="0" fontId="17" fillId="8" borderId="21" xfId="0" applyFont="1" applyFill="1" applyBorder="1" applyAlignment="1">
      <alignment vertical="center" wrapText="1"/>
    </xf>
    <xf numFmtId="0" fontId="0" fillId="6" borderId="22" xfId="0" applyFill="1" applyBorder="1" applyAlignment="1">
      <alignment vertical="center" wrapText="1"/>
    </xf>
    <xf numFmtId="0" fontId="0" fillId="6" borderId="22" xfId="0" applyFill="1" applyBorder="1"/>
    <xf numFmtId="0" fontId="0" fillId="5" borderId="17" xfId="0" applyFill="1" applyBorder="1"/>
    <xf numFmtId="0" fontId="0" fillId="8" borderId="21" xfId="0" applyFill="1" applyBorder="1" applyAlignment="1">
      <alignment vertical="center" wrapText="1"/>
    </xf>
    <xf numFmtId="0" fontId="17" fillId="8" borderId="22" xfId="0" applyFont="1" applyFill="1" applyBorder="1" applyAlignment="1">
      <alignment vertical="center" wrapText="1"/>
    </xf>
    <xf numFmtId="0" fontId="0" fillId="6" borderId="21" xfId="0" applyFill="1" applyBorder="1" applyAlignment="1">
      <alignment vertical="center" wrapText="1"/>
    </xf>
    <xf numFmtId="0" fontId="0" fillId="5" borderId="21" xfId="0" applyFill="1" applyBorder="1" applyAlignment="1">
      <alignment vertical="center" wrapText="1"/>
    </xf>
    <xf numFmtId="0" fontId="0" fillId="6" borderId="19" xfId="0" applyFill="1" applyBorder="1"/>
    <xf numFmtId="0" fontId="0" fillId="5" borderId="19" xfId="0" applyFill="1" applyBorder="1"/>
    <xf numFmtId="0" fontId="0" fillId="8" borderId="22" xfId="0" applyFill="1" applyBorder="1" applyAlignment="1">
      <alignment vertical="center" wrapText="1"/>
    </xf>
    <xf numFmtId="0" fontId="0" fillId="5" borderId="14" xfId="0" applyFill="1" applyBorder="1" applyAlignment="1">
      <alignment vertical="center" wrapText="1"/>
    </xf>
    <xf numFmtId="0" fontId="0" fillId="6" borderId="14" xfId="0" applyFill="1" applyBorder="1" applyAlignment="1">
      <alignment vertical="center" wrapText="1"/>
    </xf>
    <xf numFmtId="0" fontId="0" fillId="5" borderId="22" xfId="0" applyFill="1" applyBorder="1"/>
    <xf numFmtId="0" fontId="0" fillId="5" borderId="22" xfId="0" applyFill="1" applyBorder="1" applyAlignment="1">
      <alignment vertical="center" wrapText="1"/>
    </xf>
    <xf numFmtId="0" fontId="15" fillId="7" borderId="20" xfId="0" applyFont="1" applyFill="1" applyBorder="1" applyAlignment="1">
      <alignment horizontal="center" vertical="center" wrapText="1"/>
    </xf>
    <xf numFmtId="0" fontId="17" fillId="8" borderId="20" xfId="0" applyFont="1" applyFill="1" applyBorder="1" applyAlignment="1">
      <alignment horizontal="center" vertical="center" wrapText="1"/>
    </xf>
    <xf numFmtId="0" fontId="15" fillId="7" borderId="0" xfId="0" applyFont="1" applyFill="1" applyAlignment="1">
      <alignment horizontal="center" vertical="center" wrapText="1"/>
    </xf>
    <xf numFmtId="0" fontId="17" fillId="8" borderId="0" xfId="0" applyFont="1" applyFill="1" applyAlignment="1">
      <alignment horizontal="center" vertical="center" wrapText="1"/>
    </xf>
    <xf numFmtId="0" fontId="15" fillId="7" borderId="13" xfId="0" applyFont="1" applyFill="1" applyBorder="1" applyAlignment="1">
      <alignment horizontal="center" vertical="center" wrapText="1"/>
    </xf>
    <xf numFmtId="0" fontId="17" fillId="8" borderId="5" xfId="0" applyFont="1" applyFill="1" applyBorder="1" applyAlignment="1">
      <alignment horizontal="center" vertical="center" wrapText="1"/>
    </xf>
    <xf numFmtId="0" fontId="15" fillId="7" borderId="4" xfId="0" applyFont="1" applyFill="1" applyBorder="1" applyAlignment="1">
      <alignment horizontal="center" vertical="center" wrapText="1"/>
    </xf>
    <xf numFmtId="0" fontId="17" fillId="8" borderId="6" xfId="0" applyFont="1" applyFill="1" applyBorder="1" applyAlignment="1">
      <alignment horizontal="center" vertical="center" wrapText="1"/>
    </xf>
    <xf numFmtId="0" fontId="15" fillId="7" borderId="23" xfId="0" applyFont="1" applyFill="1" applyBorder="1" applyAlignment="1">
      <alignment horizontal="center" vertical="center" wrapText="1"/>
    </xf>
    <xf numFmtId="0" fontId="17" fillId="8" borderId="7" xfId="0" applyFont="1" applyFill="1" applyBorder="1" applyAlignment="1">
      <alignment horizontal="center" vertical="center" wrapText="1"/>
    </xf>
    <xf numFmtId="0" fontId="0" fillId="0" borderId="15" xfId="0" applyBorder="1" applyAlignment="1">
      <alignment wrapText="1"/>
    </xf>
    <xf numFmtId="0" fontId="0" fillId="0" borderId="17" xfId="0" applyBorder="1" applyAlignment="1">
      <alignment wrapText="1"/>
    </xf>
    <xf numFmtId="0" fontId="14" fillId="4" borderId="0" xfId="0" applyFont="1" applyFill="1" applyAlignment="1">
      <alignment wrapText="1"/>
    </xf>
    <xf numFmtId="0" fontId="0" fillId="5" borderId="15" xfId="0" applyFill="1" applyBorder="1" applyAlignment="1">
      <alignment wrapText="1"/>
    </xf>
    <xf numFmtId="0" fontId="0" fillId="6" borderId="15" xfId="0" applyFill="1" applyBorder="1" applyAlignment="1">
      <alignment wrapText="1"/>
    </xf>
    <xf numFmtId="0" fontId="0" fillId="0" borderId="16" xfId="0" applyBorder="1" applyAlignment="1">
      <alignment wrapText="1"/>
    </xf>
    <xf numFmtId="0" fontId="0" fillId="0" borderId="0" xfId="0" applyAlignment="1">
      <alignment wrapText="1"/>
    </xf>
    <xf numFmtId="0" fontId="0" fillId="6" borderId="22" xfId="0" applyFill="1" applyBorder="1" applyAlignment="1">
      <alignment wrapText="1"/>
    </xf>
    <xf numFmtId="0" fontId="12" fillId="0" borderId="2" xfId="1" applyFont="1" applyBorder="1" applyAlignment="1">
      <alignment vertical="top"/>
    </xf>
    <xf numFmtId="0" fontId="5" fillId="0" borderId="2" xfId="1" applyFont="1" applyBorder="1" applyAlignment="1">
      <alignment vertical="top" wrapText="1"/>
    </xf>
  </cellXfs>
  <cellStyles count="2">
    <cellStyle name="Standard" xfId="0" builtinId="0"/>
    <cellStyle name="Standard 2" xfId="1" xr:uid="{F8B29571-4EB4-414E-82DA-6E6DC19504C2}"/>
  </cellStyles>
  <dxfs count="183">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border diagonalUp="0" diagonalDown="0">
        <left style="thin">
          <color theme="0"/>
        </left>
        <right/>
        <top style="thin">
          <color theme="0"/>
        </top>
        <bottom/>
        <vertical/>
        <horizontal/>
      </border>
    </dxf>
    <dxf>
      <border diagonalUp="0" diagonalDown="0" outline="0">
        <left style="thin">
          <color theme="6" tint="0.39997558519241921"/>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style="thin">
          <color theme="0"/>
        </left>
        <right/>
        <top style="thin">
          <color theme="0"/>
        </top>
        <bottom/>
        <vertical/>
        <horizontal/>
      </border>
    </dxf>
    <dxf>
      <border diagonalUp="0" diagonalDown="0" outline="0">
        <left style="thin">
          <color theme="6" tint="0.39997558519241921"/>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border diagonalUp="0" diagonalDown="0">
        <left style="thin">
          <color theme="0"/>
        </left>
        <right/>
        <top style="thin">
          <color theme="0"/>
        </top>
        <bottom/>
        <vertical/>
        <horizontal/>
      </border>
    </dxf>
    <dxf>
      <border diagonalUp="0" diagonalDown="0" outline="0">
        <left style="thin">
          <color theme="6" tint="0.39997558519241921"/>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style="thin">
          <color theme="0"/>
        </left>
        <right/>
        <top style="thin">
          <color theme="0"/>
        </top>
        <bottom/>
        <vertical/>
        <horizontal/>
      </border>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border diagonalUp="0" diagonalDown="0">
        <left style="thin">
          <color theme="0"/>
        </left>
        <right/>
        <top style="thin">
          <color theme="0"/>
        </top>
        <bottom/>
        <vertical/>
        <horizontal/>
      </border>
    </dxf>
    <dxf>
      <border diagonalUp="0" diagonalDown="0" outline="0">
        <left style="thin">
          <color theme="6" tint="0.39997558519241921"/>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border diagonalUp="0" diagonalDown="0">
        <left style="thin">
          <color theme="0"/>
        </left>
        <right/>
        <top style="thin">
          <color theme="0"/>
        </top>
        <bottom/>
        <vertical/>
        <horizontal/>
      </border>
    </dxf>
    <dxf>
      <fill>
        <patternFill patternType="solid">
          <fgColor theme="6" tint="0.79998168889431442"/>
          <bgColor theme="6" tint="0.79998168889431442"/>
        </patternFill>
      </fill>
      <border diagonalUp="0" diagonalDown="0" outline="0">
        <left style="thin">
          <color theme="6" tint="0.39997558519241921"/>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style="thin">
          <color theme="0"/>
        </left>
        <right/>
        <top style="thin">
          <color theme="0"/>
        </top>
        <bottom/>
        <vertical/>
        <horizontal/>
      </border>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border diagonalUp="0" diagonalDown="0">
        <left style="thin">
          <color theme="0"/>
        </left>
        <right/>
        <top style="thin">
          <color theme="0"/>
        </top>
        <bottom/>
        <vertical/>
        <horizontal/>
      </border>
    </dxf>
    <dxf>
      <fill>
        <patternFill patternType="solid">
          <fgColor theme="6" tint="0.79998168889431442"/>
          <bgColor theme="6" tint="0.79998168889431442"/>
        </patternFill>
      </fill>
      <border diagonalUp="0" diagonalDown="0" outline="0">
        <left style="thin">
          <color theme="6" tint="0.39997558519241921"/>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style="thin">
          <color theme="0"/>
        </left>
        <right/>
        <top style="thin">
          <color theme="0"/>
        </top>
        <bottom/>
        <vertical/>
        <horizontal/>
      </border>
    </dxf>
    <dxf>
      <border diagonalUp="0" diagonalDown="0" outline="0">
        <left style="thin">
          <color theme="6" tint="0.39997558519241921"/>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border diagonalUp="0" diagonalDown="0">
        <left style="thin">
          <color theme="0"/>
        </left>
        <right/>
        <top style="thin">
          <color theme="0"/>
        </top>
        <bottom/>
        <vertical/>
        <horizontal/>
      </border>
    </dxf>
    <dxf>
      <fill>
        <patternFill patternType="solid">
          <fgColor theme="6" tint="0.59999389629810485"/>
          <bgColor theme="6" tint="0.59999389629810485"/>
        </patternFill>
      </fill>
      <border diagonalUp="0" diagonalDown="0" outline="0">
        <left style="thin">
          <color theme="0"/>
        </left>
        <right style="thin">
          <color theme="0"/>
        </right>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style="thin">
          <color theme="0"/>
        </left>
        <right/>
        <top style="thin">
          <color theme="0"/>
        </top>
        <bottom/>
        <vertical/>
        <horizontal/>
      </border>
    </dxf>
    <dxf>
      <fill>
        <patternFill patternType="solid">
          <fgColor theme="6" tint="0.79998168889431442"/>
          <bgColor theme="6" tint="0.79998168889431442"/>
        </patternFill>
      </fill>
      <border diagonalUp="0" diagonalDown="0" outline="0">
        <left style="thin">
          <color theme="6" tint="0.39997558519241921"/>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style="thin">
          <color theme="0"/>
        </left>
        <right/>
        <top style="thin">
          <color theme="0"/>
        </top>
        <bottom/>
        <vertical/>
        <horizontal/>
      </border>
    </dxf>
    <dxf>
      <border diagonalUp="0" diagonalDown="0" outline="0">
        <left style="thin">
          <color theme="6" tint="0.39997558519241921"/>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border diagonalUp="0" diagonalDown="0">
        <left style="thin">
          <color theme="0"/>
        </left>
        <right/>
        <top style="thin">
          <color theme="0"/>
        </top>
        <bottom/>
        <vertical/>
        <horizontal/>
      </border>
    </dxf>
    <dxf>
      <border diagonalUp="0" diagonalDown="0" outline="0">
        <left style="thin">
          <color theme="6" tint="0.39997558519241921"/>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style="thin">
          <color theme="0"/>
        </left>
        <right/>
        <top style="thin">
          <color theme="0"/>
        </top>
        <bottom/>
        <vertical/>
        <horizontal/>
      </border>
    </dxf>
    <dxf>
      <fill>
        <patternFill patternType="solid">
          <fgColor theme="6" tint="0.79998168889431442"/>
          <bgColor theme="6" tint="0.79998168889431442"/>
        </patternFill>
      </fill>
      <border diagonalUp="0" diagonalDown="0" outline="0">
        <left style="thin">
          <color theme="6" tint="0.39997558519241921"/>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border diagonalUp="0" diagonalDown="0">
        <left style="medium">
          <color rgb="FFC9C9C9"/>
        </left>
        <right/>
        <top style="thin">
          <color theme="0"/>
        </top>
        <bottom/>
        <vertical/>
        <horizontal/>
      </border>
    </dxf>
    <dxf>
      <fill>
        <patternFill patternType="solid">
          <fgColor theme="6" tint="0.79998168889431442"/>
          <bgColor theme="6" tint="0.79998168889431442"/>
        </patternFill>
      </fill>
      <border diagonalUp="0" diagonalDown="0" outline="0">
        <left style="thin">
          <color theme="6" tint="0.39997558519241921"/>
        </left>
        <right/>
        <top style="thin">
          <color theme="6" tint="0.39997558519241921"/>
        </top>
        <bottom style="thin">
          <color theme="6" tint="0.39997558519241921"/>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alignment horizontal="general" vertical="center" textRotation="0" wrapText="1" indent="0" justifyLastLine="0" shrinkToFit="0" readingOrder="0"/>
      <border diagonalUp="0" diagonalDown="0">
        <left style="medium">
          <color rgb="FFC9C9C9"/>
        </left>
        <right/>
        <top style="medium">
          <color rgb="FFC9C9C9"/>
        </top>
        <bottom/>
        <vertical/>
        <horizontal/>
      </border>
    </dxf>
    <dxf>
      <fill>
        <patternFill patternType="solid">
          <fgColor theme="6" tint="0.79998168889431442"/>
          <bgColor theme="6" tint="0.79998168889431442"/>
        </patternFill>
      </fill>
      <alignment horizontal="right" vertical="bottom" textRotation="0" wrapText="0" indent="0" justifyLastLine="0" shrinkToFit="0" readingOrder="0"/>
      <border diagonalUp="0" diagonalDown="0" outline="0">
        <left style="thin">
          <color theme="0"/>
        </left>
        <right style="thin">
          <color theme="0"/>
        </right>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6" tint="0.59999389629810485"/>
          <bgColor theme="6" tint="0.59999389629810485"/>
        </patternFill>
      </fill>
      <alignment horizontal="general" vertical="center" textRotation="0" wrapText="1" indent="0" justifyLastLine="0" shrinkToFit="0" readingOrder="0"/>
      <border diagonalUp="0" diagonalDown="0">
        <left style="medium">
          <color rgb="FFC9C9C9"/>
        </left>
        <right/>
        <top style="medium">
          <color rgb="FFC9C9C9"/>
        </top>
        <bottom/>
        <vertical/>
        <horizontal/>
      </border>
    </dxf>
    <dxf>
      <font>
        <b/>
        <i/>
        <strike val="0"/>
        <condense val="0"/>
        <extend val="0"/>
        <outline val="0"/>
        <shadow val="0"/>
        <u val="none"/>
        <vertAlign val="baseline"/>
        <sz val="11"/>
        <color rgb="FF000000"/>
        <name val="Calibri"/>
        <family val="2"/>
        <scheme val="minor"/>
      </font>
      <fill>
        <patternFill patternType="solid">
          <fgColor indexed="64"/>
          <bgColor rgb="FFFFFFFF"/>
        </patternFill>
      </fill>
      <alignment horizontal="right" vertical="center" textRotation="0" wrapText="1" indent="0" justifyLastLine="0" shrinkToFit="0" readingOrder="0"/>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numFmt numFmtId="27" formatCode="dd/mm/yyyy\ hh:mm"/>
      <fill>
        <patternFill patternType="none">
          <fgColor indexed="64"/>
          <bgColor auto="1"/>
        </patternFill>
      </fill>
      <border diagonalUp="0" diagonalDown="0" outline="0">
        <left/>
        <right/>
        <top style="thin">
          <color theme="9" tint="0.39997558519241921"/>
        </top>
        <bottom style="thin">
          <color theme="9" tint="0.39997558519241921"/>
        </bottom>
      </border>
    </dxf>
    <dxf>
      <numFmt numFmtId="27" formatCode="dd/mm/yyyy\ hh:mm"/>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border diagonalUp="0" diagonalDown="0" outline="0">
        <left style="thin">
          <color theme="9" tint="0.39997558519241921"/>
        </left>
        <right/>
        <top style="thin">
          <color theme="9" tint="0.39997558519241921"/>
        </top>
        <bottom style="thin">
          <color theme="9" tint="0.39997558519241921"/>
        </bottom>
      </border>
    </dxf>
    <dxf>
      <border outline="0">
        <top style="thin">
          <color rgb="FFA9D08E"/>
        </top>
      </border>
    </dxf>
    <dxf>
      <border outline="0">
        <top style="thin">
          <color rgb="FFC9C9C9"/>
        </top>
        <bottom style="thin">
          <color rgb="FFA9D08E"/>
        </bottom>
      </border>
    </dxf>
    <dxf>
      <fill>
        <patternFill patternType="none">
          <fgColor indexed="64"/>
          <bgColor auto="1"/>
        </patternFill>
      </fill>
    </dxf>
    <dxf>
      <border outline="0">
        <bottom style="thin">
          <color rgb="FFC9C9C9"/>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numFmt numFmtId="27" formatCode="dd/mm/yyyy\ hh:mm"/>
      <border diagonalUp="0" diagonalDown="0">
        <left/>
        <right/>
        <top style="thin">
          <color theme="9" tint="0.39997558519241921"/>
        </top>
        <bottom style="thin">
          <color theme="9" tint="0.39997558519241921"/>
        </bottom>
        <vertical/>
        <horizontal/>
      </border>
    </dxf>
    <dxf>
      <numFmt numFmtId="27" formatCode="dd/mm/yyyy\ hh:mm"/>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style="thin">
          <color theme="9" tint="0.39997558519241921"/>
        </left>
        <right/>
        <top style="thin">
          <color theme="9" tint="0.39997558519241921"/>
        </top>
        <bottom style="thin">
          <color theme="9" tint="0.39997558519241921"/>
        </bottom>
        <vertical/>
        <horizontal/>
      </border>
    </dxf>
    <dxf>
      <border outline="0">
        <top style="thin">
          <color theme="9" tint="0.39997558519241921"/>
        </top>
      </border>
    </dxf>
    <dxf>
      <border outline="0">
        <top style="thin">
          <color theme="6" tint="0.39997558519241921"/>
        </top>
        <bottom style="thin">
          <color theme="9" tint="0.39997558519241921"/>
        </bottom>
      </border>
    </dxf>
    <dxf>
      <border outline="0">
        <bottom style="thin">
          <color theme="6" tint="0.39997558519241921"/>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A4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2" connectionId="4" xr16:uid="{0A1C7732-B1DA-47FC-A896-1AC8C3B1AA3F}" autoFormatId="16" applyNumberFormats="0" applyBorderFormats="0" applyFontFormats="0" applyPatternFormats="0" applyAlignmentFormats="0" applyWidthHeightFormats="0">
  <queryTableRefresh nextId="88">
    <queryTableFields count="26">
      <queryTableField id="1" name="Key" tableColumnId="1"/>
      <queryTableField id="2" name="Item Type" tableColumnId="2"/>
      <queryTableField id="3" name="Publication Year" tableColumnId="3"/>
      <queryTableField id="4" name="Author" tableColumnId="4"/>
      <queryTableField id="5" name="Title" tableColumnId="5"/>
      <queryTableField id="6" name="Publication Title" tableColumnId="6"/>
      <queryTableField id="7" name="ISBN" tableColumnId="7"/>
      <queryTableField id="8" name="ISSN" tableColumnId="8"/>
      <queryTableField id="9" name="DOI" tableColumnId="9"/>
      <queryTableField id="10" name="Url" tableColumnId="10"/>
      <queryTableField id="12" name="Date" tableColumnId="12"/>
      <queryTableField id="13" name="Date Added" tableColumnId="13"/>
      <queryTableField id="14" name="Date Modified" tableColumnId="14"/>
      <queryTableField id="15" name="Access Date" tableColumnId="15"/>
      <queryTableField id="16" name="Pages" tableColumnId="16"/>
      <queryTableField id="18" name="Issue" tableColumnId="18"/>
      <queryTableField id="19" name="Volume" tableColumnId="19"/>
      <queryTableField id="21" name="Journal Abbreviation" tableColumnId="21"/>
      <queryTableField id="22" name="Short Title" tableColumnId="22"/>
      <queryTableField id="27" name="Publisher" tableColumnId="27"/>
      <queryTableField id="28" name="Place" tableColumnId="28"/>
      <queryTableField id="29" name="Language" tableColumnId="29"/>
      <queryTableField id="34" name="Library Catalog" tableColumnId="34"/>
      <queryTableField id="36" name="Extra" tableColumnId="36"/>
      <queryTableField id="42" name="Editor" tableColumnId="42"/>
      <queryTableField id="43" name="Series Editor" tableColumnId="43"/>
    </queryTableFields>
    <queryTableDeletedFields count="61">
      <deletedField name="Abstract Note"/>
      <deletedField name="Num Pages"/>
      <deletedField name="Number Of Volumes"/>
      <deletedField name="Series Number"/>
      <deletedField name="Series"/>
      <deletedField name="Series Title"/>
      <deletedField name="Series Text"/>
      <deletedField name="Rights"/>
      <deletedField name="Type"/>
      <deletedField name="Archive"/>
      <deletedField name="Archive Location"/>
      <deletedField name="Call Number"/>
      <deletedField name="Notes"/>
      <deletedField name="File Attachments"/>
      <deletedField name="Link Attachments"/>
      <deletedField name="Manual Tags"/>
      <deletedField name="Automatic Tags"/>
      <deletedField name="Translator"/>
      <deletedField name="Contributor"/>
      <deletedField name="Attorney Agent"/>
      <deletedField name="Book Author"/>
      <deletedField name="Cast Member"/>
      <deletedField name="Commenter"/>
      <deletedField name="Composer"/>
      <deletedField name="Cosponsor"/>
      <deletedField name="Counsel"/>
      <deletedField name="Interviewer"/>
      <deletedField name="Producer"/>
      <deletedField name="Recipient"/>
      <deletedField name="Reviewed Author"/>
      <deletedField name="Scriptwriter"/>
      <deletedField name="Words By"/>
      <deletedField name="Guest"/>
      <deletedField name="Number"/>
      <deletedField name="Edition"/>
      <deletedField name="Running Time"/>
      <deletedField name="Scale"/>
      <deletedField name="Medium"/>
      <deletedField name="Artwork Size"/>
      <deletedField name="Filing Date"/>
      <deletedField name="Application Number"/>
      <deletedField name="Assignee"/>
      <deletedField name="Issuing Authority"/>
      <deletedField name="Country"/>
      <deletedField name="Meeting Name"/>
      <deletedField name="Conference Name"/>
      <deletedField name="Court"/>
      <deletedField name="References"/>
      <deletedField name="Reporter"/>
      <deletedField name="Legal Status"/>
      <deletedField name="Priority Numbers"/>
      <deletedField name="Programming Language"/>
      <deletedField name="Version"/>
      <deletedField name="System"/>
      <deletedField name="Code"/>
      <deletedField name="Code Number"/>
      <deletedField name="Section"/>
      <deletedField name="Session"/>
      <deletedField name="Committee"/>
      <deletedField name="History"/>
      <deletedField name="Legislative Body"/>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278DA53-E7ED-4C67-80C2-EA857FE5C873}" name="unique" displayName="unique" ref="A1:Z712" tableType="queryTable" totalsRowShown="0">
  <autoFilter ref="A1:Z712" xr:uid="{A278DA53-E7ED-4C67-80C2-EA857FE5C873}"/>
  <tableColumns count="26">
    <tableColumn id="1" xr3:uid="{D384794D-6D2E-43B5-9C54-2C9CCF5BC45F}" uniqueName="1" name="Key" queryTableFieldId="1" dataDxfId="182"/>
    <tableColumn id="2" xr3:uid="{6739361E-1D41-4A24-BCED-24365DE0F0DF}" uniqueName="2" name="Item Type" queryTableFieldId="2" dataDxfId="181"/>
    <tableColumn id="3" xr3:uid="{CF3E71D0-0EBE-4E6B-BB57-5831D5D78071}" uniqueName="3" name="Publication Year" queryTableFieldId="3"/>
    <tableColumn id="4" xr3:uid="{A4EA2610-2279-4287-B1C5-65DC7864CF27}" uniqueName="4" name="Author" queryTableFieldId="4" dataDxfId="180"/>
    <tableColumn id="5" xr3:uid="{988C39BA-FEBE-476F-BFDC-8E39AD8DE0E3}" uniqueName="5" name="Title" queryTableFieldId="5" dataDxfId="179"/>
    <tableColumn id="6" xr3:uid="{89456E7F-0CC2-4547-B98F-A7A43DC21AE2}" uniqueName="6" name="Publication Title" queryTableFieldId="6" dataDxfId="178"/>
    <tableColumn id="7" xr3:uid="{E168E923-9676-450F-A6CF-A77EC2383C05}" uniqueName="7" name="ISBN" queryTableFieldId="7" dataDxfId="177"/>
    <tableColumn id="8" xr3:uid="{8B14E602-706D-424C-A56A-24F71F8C40C4}" uniqueName="8" name="ISSN" queryTableFieldId="8" dataDxfId="176"/>
    <tableColumn id="9" xr3:uid="{B6D1441D-FE96-4004-B37A-83EAB86CD68C}" uniqueName="9" name="DOI" queryTableFieldId="9" dataDxfId="175"/>
    <tableColumn id="10" xr3:uid="{D3602415-1E7E-493F-8032-DB5000503E07}" uniqueName="10" name="Url" queryTableFieldId="10" dataDxfId="174"/>
    <tableColumn id="12" xr3:uid="{F8C07540-73F6-43BE-B7C5-2E8D2429D68E}" uniqueName="12" name="Date" queryTableFieldId="12" dataDxfId="173"/>
    <tableColumn id="13" xr3:uid="{52D05800-7360-4AC1-BC1C-F3A037CBEC79}" uniqueName="13" name="Date Added" queryTableFieldId="13" dataDxfId="172"/>
    <tableColumn id="14" xr3:uid="{FC632273-27F9-474F-B59D-BC3D2A51E356}" uniqueName="14" name="Date Modified" queryTableFieldId="14" dataDxfId="171"/>
    <tableColumn id="15" xr3:uid="{E305B239-BB71-4A83-A934-5038A2428A44}" uniqueName="15" name="Access Date" queryTableFieldId="15" dataDxfId="170"/>
    <tableColumn id="16" xr3:uid="{A5F78F8B-B9D0-4CBB-97E9-083A35EDBDB4}" uniqueName="16" name="Pages" queryTableFieldId="16" dataDxfId="169"/>
    <tableColumn id="18" xr3:uid="{2BEB56D9-CF58-449E-9388-4CEF99DB51C1}" uniqueName="18" name="Issue" queryTableFieldId="18" dataDxfId="168"/>
    <tableColumn id="19" xr3:uid="{0B2330D0-1F86-47CD-85B2-8F49E296B3FC}" uniqueName="19" name="Volume" queryTableFieldId="19" dataDxfId="167"/>
    <tableColumn id="21" xr3:uid="{67BA224F-476C-4BCA-B0E6-3F8D1B01D38F}" uniqueName="21" name="Journal Abbreviation" queryTableFieldId="21" dataDxfId="166"/>
    <tableColumn id="22" xr3:uid="{2939177A-B3BB-4574-BBB3-4487B51CC17B}" uniqueName="22" name="Short Title" queryTableFieldId="22" dataDxfId="165"/>
    <tableColumn id="27" xr3:uid="{F07AC1EB-413E-4066-9BA1-CD4BA1493D26}" uniqueName="27" name="Publisher" queryTableFieldId="27" dataDxfId="164"/>
    <tableColumn id="28" xr3:uid="{014F0D8E-BAFF-46C1-AB4D-A525960E59FF}" uniqueName="28" name="Place" queryTableFieldId="28" dataDxfId="163"/>
    <tableColumn id="29" xr3:uid="{B08197E9-BC06-4F08-A298-42FA294F05BE}" uniqueName="29" name="Language" queryTableFieldId="29" dataDxfId="162"/>
    <tableColumn id="34" xr3:uid="{828E5C02-2DC0-4CB9-946A-27625D65A70C}" uniqueName="34" name="Library Catalog" queryTableFieldId="34" dataDxfId="161"/>
    <tableColumn id="36" xr3:uid="{C00EEAD5-8263-47C3-9C61-A95137D884E9}" uniqueName="36" name="Extra" queryTableFieldId="36" dataDxfId="160"/>
    <tableColumn id="42" xr3:uid="{E1B778CD-9565-41A2-B473-AC31AA91D26B}" uniqueName="42" name="Editor" queryTableFieldId="42" dataDxfId="159"/>
    <tableColumn id="43" xr3:uid="{5E169906-D3E3-416E-AA4A-C859BA3113F1}" uniqueName="43" name="Series Editor" queryTableFieldId="43" dataDxfId="15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21D671-D367-4C3E-B80C-264755FC874C}" name="Tabelle4" displayName="Tabelle4" ref="A1:W92" totalsRowShown="0">
  <autoFilter ref="A1:W92" xr:uid="{C421D671-D367-4C3E-B80C-264755FC874C}"/>
  <tableColumns count="23">
    <tableColumn id="1" xr3:uid="{EAD72440-06BD-4F13-961A-01852ADAB429}" name="Key"/>
    <tableColumn id="2" xr3:uid="{3826455A-C80F-4AC1-AE9D-AC5A9D65FD48}" name="Item Type" dataDxfId="157">
      <calculatedColumnFormula>VLOOKUP(Tabelle4[[#This Row],[Key]],'3. Unique Results'!A:X,2,FALSE)</calculatedColumnFormula>
    </tableColumn>
    <tableColumn id="3" xr3:uid="{D13C8283-C6D9-42C2-8126-0FEC556382D8}" name="Publication Year" dataDxfId="156">
      <calculatedColumnFormula>VLOOKUP(Tabelle4[[#This Row],[Key]],'3. Unique Results'!A:X,3,FALSE)</calculatedColumnFormula>
    </tableColumn>
    <tableColumn id="4" xr3:uid="{9ECE48F2-9CEF-46D8-B367-3ABD998AFA46}" name="Author" dataDxfId="155">
      <calculatedColumnFormula>VLOOKUP(Tabelle4[[#This Row],[Key]],'3. Unique Results'!A:X,4,FALSE)</calculatedColumnFormula>
    </tableColumn>
    <tableColumn id="5" xr3:uid="{9DF9A4C6-CF7D-4012-94E5-5888FA8F1576}" name="Title" dataDxfId="154">
      <calculatedColumnFormula>VLOOKUP(Tabelle4[[#This Row],[Key]],'3. Unique Results'!A:X,5,FALSE)</calculatedColumnFormula>
    </tableColumn>
    <tableColumn id="6" xr3:uid="{D9C3AD41-1BEB-449B-A767-148631654F39}" name="Publication Title" dataDxfId="153">
      <calculatedColumnFormula>VLOOKUP(Tabelle4[[#This Row],[Key]],'3. Unique Results'!A:X,6,FALSE)</calculatedColumnFormula>
    </tableColumn>
    <tableColumn id="7" xr3:uid="{6115DE63-C7B1-446F-ACDD-9D603FA55A5B}" name="ISBN" dataDxfId="152">
      <calculatedColumnFormula>VLOOKUP(Tabelle4[[#This Row],[Key]],'3. Unique Results'!A:X,7,FALSE)</calculatedColumnFormula>
    </tableColumn>
    <tableColumn id="8" xr3:uid="{03523BBB-584E-4FFB-B1A2-08023E40E58C}" name="ISSN" dataDxfId="151">
      <calculatedColumnFormula>VLOOKUP(Tabelle4[[#This Row],[Key]],'3. Unique Results'!A:X,8,FALSE)</calculatedColumnFormula>
    </tableColumn>
    <tableColumn id="9" xr3:uid="{3583E3B6-E4EA-42AC-B6D7-2516F9A822B4}" name="DOI" dataDxfId="150">
      <calculatedColumnFormula>VLOOKUP(Tabelle4[[#This Row],[Key]],'3. Unique Results'!A:X,9,FALSE)</calculatedColumnFormula>
    </tableColumn>
    <tableColumn id="10" xr3:uid="{9B0A80DD-5D90-4E26-A2CB-2B7662B1C1BC}" name="Url" dataDxfId="149">
      <calculatedColumnFormula>VLOOKUP(Tabelle4[[#This Row],[Key]],'3. Unique Results'!A:X,10,FALSE)</calculatedColumnFormula>
    </tableColumn>
    <tableColumn id="11" xr3:uid="{1CDBFBE3-BFDB-4AB5-9867-049D2479D30D}" name="Abstract Note" dataDxfId="148">
      <calculatedColumnFormula>VLOOKUP(Tabelle4[[#This Row],[Key]],'3. Unique Results'!A:X,11,FALSE)</calculatedColumnFormula>
    </tableColumn>
    <tableColumn id="12" xr3:uid="{35E8AE80-FAA6-439C-BC88-442E9D13B054}" name="Date" dataDxfId="147">
      <calculatedColumnFormula>VLOOKUP(Tabelle4[[#This Row],[Key]],'3. Unique Results'!A:X,12,FALSE)</calculatedColumnFormula>
    </tableColumn>
    <tableColumn id="13" xr3:uid="{3DA6BE3B-165F-47A8-A16F-F7D6ABB4DFDB}" name="Date Added" dataDxfId="146">
      <calculatedColumnFormula>VLOOKUP(Tabelle4[[#This Row],[Key]],'3. Unique Results'!A:X,13,FALSE)</calculatedColumnFormula>
    </tableColumn>
    <tableColumn id="14" xr3:uid="{7D157D34-9565-49A9-934E-49AC0F96C6DC}" name="Date Modified" dataDxfId="145">
      <calculatedColumnFormula>VLOOKUP(Tabelle4[[#This Row],[Key]],'3. Unique Results'!A:X,14,FALSE)</calculatedColumnFormula>
    </tableColumn>
    <tableColumn id="15" xr3:uid="{6EC01635-99A3-459F-96EB-780C9CC8B812}" name="Access Date" dataDxfId="144">
      <calculatedColumnFormula>VLOOKUP(Tabelle4[[#This Row],[Key]],'3. Unique Results'!A:X,15,FALSE)</calculatedColumnFormula>
    </tableColumn>
    <tableColumn id="16" xr3:uid="{63D66BBD-7120-41ED-B8EF-77528A783DE6}" name="Pages" dataDxfId="143">
      <calculatedColumnFormula>VLOOKUP(Tabelle4[[#This Row],[Key]],'3. Unique Results'!A:X,16,FALSE)</calculatedColumnFormula>
    </tableColumn>
    <tableColumn id="17" xr3:uid="{05022B7A-F536-4C0A-A01E-9CE76FAFAD64}" name="Num Pages" dataDxfId="142">
      <calculatedColumnFormula>VLOOKUP(Tabelle4[[#This Row],[Key]],'3. Unique Results'!A:X,17,FALSE)</calculatedColumnFormula>
    </tableColumn>
    <tableColumn id="18" xr3:uid="{BE2B363A-8868-41F8-9C3A-7450BE21F325}" name="Issue" dataDxfId="141">
      <calculatedColumnFormula>VLOOKUP(Tabelle4[[#This Row],[Key]],'3. Unique Results'!A:X,18,FALSE)</calculatedColumnFormula>
    </tableColumn>
    <tableColumn id="19" xr3:uid="{A8DF1713-F660-4D19-A514-239A2AACE89E}" name="Volume" dataDxfId="140">
      <calculatedColumnFormula>VLOOKUP(Tabelle4[[#This Row],[Key]],'3. Unique Results'!A:X,19,FALSE)</calculatedColumnFormula>
    </tableColumn>
    <tableColumn id="20" xr3:uid="{23D10ABE-1A20-409B-A788-A11136A8A1EC}" name="Series" dataDxfId="139">
      <calculatedColumnFormula>VLOOKUP(Tabelle4[[#This Row],[Key]],'3. Unique Results'!A:X,20,FALSE)</calculatedColumnFormula>
    </tableColumn>
    <tableColumn id="21" xr3:uid="{330A075F-2359-4DE6-B966-D7600ECA9E0B}" name="Publisher" dataDxfId="138">
      <calculatedColumnFormula>VLOOKUP(Tabelle4[[#This Row],[Key]],'3. Unique Results'!A:X,21,FALSE)</calculatedColumnFormula>
    </tableColumn>
    <tableColumn id="22" xr3:uid="{E7C577C0-35E9-4FF9-B6ED-41FEB351DDE9}" name="Place" dataDxfId="137">
      <calculatedColumnFormula>VLOOKUP(Tabelle4[[#This Row],[Key]],'3. Unique Results'!A:X,22,FALSE)</calculatedColumnFormula>
    </tableColumn>
    <tableColumn id="23" xr3:uid="{1B487500-AFD5-42E7-9F1A-941B276F713E}" name="Extra" dataDxfId="136">
      <calculatedColumnFormula>VLOOKUP(Tabelle4[[#This Row],[Key]],'3. Unique Results'!A:X,23,FALSE)</calculatedColumnFormula>
    </tableColumn>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7EA1FB-1AA3-4AC2-BF4E-B532880C2A52}" name="Tabelle43" displayName="Tabelle43" ref="A1:W38" totalsRowShown="0">
  <autoFilter ref="A1:W38" xr:uid="{547EA1FB-1AA3-4AC2-BF4E-B532880C2A52}"/>
  <sortState xmlns:xlrd2="http://schemas.microsoft.com/office/spreadsheetml/2017/richdata2" ref="A2:W38">
    <sortCondition ref="D1:D38"/>
  </sortState>
  <tableColumns count="23">
    <tableColumn id="1" xr3:uid="{6E28E301-6CB8-4091-AB9D-AB3806D2E1BB}" name="Key"/>
    <tableColumn id="2" xr3:uid="{3A3EF6F9-8B6E-4760-B899-A36F401AF092}" name="Item Type" dataDxfId="135">
      <calculatedColumnFormula>VLOOKUP(Tabelle43[[#This Row],[Key]],'3. Unique Results'!A:X,2,FALSE)</calculatedColumnFormula>
    </tableColumn>
    <tableColumn id="3" xr3:uid="{96AEAC3F-023D-43C6-9D58-E349F76EAF41}" name="Publication Year" dataDxfId="134">
      <calculatedColumnFormula>VLOOKUP(Tabelle43[[#This Row],[Key]],'3. Unique Results'!A:X,3,FALSE)</calculatedColumnFormula>
    </tableColumn>
    <tableColumn id="4" xr3:uid="{706D1505-A6B3-4954-8874-C264259CA564}" name="Author" dataDxfId="133">
      <calculatedColumnFormula>VLOOKUP(Tabelle43[[#This Row],[Key]],'3. Unique Results'!A:X,4,FALSE)</calculatedColumnFormula>
    </tableColumn>
    <tableColumn id="5" xr3:uid="{BA0A37D5-8D91-417B-BF51-EE4C5B8B7C01}" name="Title" dataDxfId="132">
      <calculatedColumnFormula>VLOOKUP(Tabelle43[[#This Row],[Key]],'3. Unique Results'!A:X,5,FALSE)</calculatedColumnFormula>
    </tableColumn>
    <tableColumn id="6" xr3:uid="{C48642A8-0F99-4219-B2D3-65A81BE0EBA2}" name="Publication Title" dataDxfId="131">
      <calculatedColumnFormula>VLOOKUP(Tabelle43[[#This Row],[Key]],'3. Unique Results'!A:X,6,FALSE)</calculatedColumnFormula>
    </tableColumn>
    <tableColumn id="7" xr3:uid="{68D3E50D-B1A5-4BB6-B7EE-0C9E3B788FE3}" name="ISBN" dataDxfId="130">
      <calculatedColumnFormula>VLOOKUP(Tabelle43[[#This Row],[Key]],'3. Unique Results'!A:X,7,FALSE)</calculatedColumnFormula>
    </tableColumn>
    <tableColumn id="8" xr3:uid="{CA1F7632-B84A-40D7-9366-5078F76F1D1A}" name="ISSN" dataDxfId="129">
      <calculatedColumnFormula>VLOOKUP(Tabelle43[[#This Row],[Key]],'3. Unique Results'!A:X,8,FALSE)</calculatedColumnFormula>
    </tableColumn>
    <tableColumn id="9" xr3:uid="{DFD3EA5B-17C4-442A-A430-547736F3199A}" name="DOI" dataDxfId="128">
      <calculatedColumnFormula>VLOOKUP(Tabelle43[[#This Row],[Key]],'3. Unique Results'!A:X,9,FALSE)</calculatedColumnFormula>
    </tableColumn>
    <tableColumn id="10" xr3:uid="{6AFA6C60-4D23-421F-909B-2F86E8182D15}" name="Url" dataDxfId="127">
      <calculatedColumnFormula>VLOOKUP(Tabelle43[[#This Row],[Key]],'3. Unique Results'!A:X,10,FALSE)</calculatedColumnFormula>
    </tableColumn>
    <tableColumn id="11" xr3:uid="{5A02B66E-6805-4EA7-890B-885F891A63A0}" name="Abstract Note" dataDxfId="126">
      <calculatedColumnFormula>VLOOKUP(Tabelle43[[#This Row],[Key]],'3. Unique Results'!A:X,11,FALSE)</calculatedColumnFormula>
    </tableColumn>
    <tableColumn id="12" xr3:uid="{78B34543-D4E9-4CC4-AC3F-9000A0925DA5}" name="Date" dataDxfId="125">
      <calculatedColumnFormula>VLOOKUP(Tabelle43[[#This Row],[Key]],'3. Unique Results'!A:X,12,FALSE)</calculatedColumnFormula>
    </tableColumn>
    <tableColumn id="13" xr3:uid="{74ECFE61-8073-4364-BBE0-9076185F87B6}" name="Date Added" dataDxfId="124">
      <calculatedColumnFormula>VLOOKUP(Tabelle43[[#This Row],[Key]],'3. Unique Results'!A:X,13,FALSE)</calculatedColumnFormula>
    </tableColumn>
    <tableColumn id="14" xr3:uid="{F1A641D5-5D8E-4348-85D4-FD67AB24C9BA}" name="Date Modified" dataDxfId="123">
      <calculatedColumnFormula>VLOOKUP(Tabelle43[[#This Row],[Key]],'3. Unique Results'!A:X,14,FALSE)</calculatedColumnFormula>
    </tableColumn>
    <tableColumn id="15" xr3:uid="{3A7C1FC6-930A-4128-8D46-38521BC7BCCB}" name="Access Date" dataDxfId="122">
      <calculatedColumnFormula>VLOOKUP(Tabelle43[[#This Row],[Key]],'3. Unique Results'!A:X,15,FALSE)</calculatedColumnFormula>
    </tableColumn>
    <tableColumn id="16" xr3:uid="{6FB89110-F257-4D26-B2FC-08A309338652}" name="Pages" dataDxfId="121">
      <calculatedColumnFormula>VLOOKUP(Tabelle43[[#This Row],[Key]],'3. Unique Results'!A:X,16,FALSE)</calculatedColumnFormula>
    </tableColumn>
    <tableColumn id="17" xr3:uid="{8545B014-C154-4EDB-ABEB-3147AF453936}" name="Num Pages" dataDxfId="120">
      <calculatedColumnFormula>VLOOKUP(Tabelle43[[#This Row],[Key]],'3. Unique Results'!A:X,17,FALSE)</calculatedColumnFormula>
    </tableColumn>
    <tableColumn id="18" xr3:uid="{76D2C815-0AC1-4203-882E-66C2BB369AB0}" name="Issue" dataDxfId="119">
      <calculatedColumnFormula>VLOOKUP(Tabelle43[[#This Row],[Key]],'3. Unique Results'!A:X,18,FALSE)</calculatedColumnFormula>
    </tableColumn>
    <tableColumn id="19" xr3:uid="{A3272D72-1ECF-4187-B859-A4C643AAAC97}" name="Volume" dataDxfId="118">
      <calculatedColumnFormula>VLOOKUP(Tabelle43[[#This Row],[Key]],'3. Unique Results'!A:X,19,FALSE)</calculatedColumnFormula>
    </tableColumn>
    <tableColumn id="20" xr3:uid="{012A50A3-B092-4614-98B2-9B242CAEF517}" name="Series" dataDxfId="117">
      <calculatedColumnFormula>VLOOKUP(Tabelle43[[#This Row],[Key]],'3. Unique Results'!A:X,20,FALSE)</calculatedColumnFormula>
    </tableColumn>
    <tableColumn id="21" xr3:uid="{F1292B12-E648-4FB6-AA8E-1C673342ED71}" name="Publisher" dataDxfId="116">
      <calculatedColumnFormula>VLOOKUP(Tabelle43[[#This Row],[Key]],'3. Unique Results'!A:X,21,FALSE)</calculatedColumnFormula>
    </tableColumn>
    <tableColumn id="22" xr3:uid="{2943B868-033F-4C32-AEAC-A624F33D85B5}" name="Place" dataDxfId="115">
      <calculatedColumnFormula>VLOOKUP(Tabelle43[[#This Row],[Key]],'3. Unique Results'!A:X,22,FALSE)</calculatedColumnFormula>
    </tableColumn>
    <tableColumn id="23" xr3:uid="{0092FB81-3629-4CD1-8486-91AA306265F1}" name="Extra" dataDxfId="114">
      <calculatedColumnFormula>VLOOKUP(Tabelle43[[#This Row],[Key]],'3. Unique Results'!A:X,23,FALSE)</calculatedColumnFormula>
    </tableColumn>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89E9F7-7EDA-42AF-9BC8-0DA8699E8F92}" name="Tabelle434" displayName="Tabelle434" ref="A1:W37" totalsRowShown="0">
  <autoFilter ref="A1:W37" xr:uid="{547EA1FB-1AA3-4AC2-BF4E-B532880C2A52}"/>
  <sortState xmlns:xlrd2="http://schemas.microsoft.com/office/spreadsheetml/2017/richdata2" ref="A2:W17">
    <sortCondition ref="D1:D37"/>
  </sortState>
  <tableColumns count="23">
    <tableColumn id="1" xr3:uid="{88C3BCEC-B259-48DC-A040-7EDE4932DA9E}" name="Key"/>
    <tableColumn id="2" xr3:uid="{829B9ECA-6B1F-43C1-A5BA-1F9287C551D1}" name="Item Type" dataDxfId="113">
      <calculatedColumnFormula>VLOOKUP(Tabelle434[[#This Row],[Key]],'3. Unique Results'!A:X,2,FALSE)</calculatedColumnFormula>
    </tableColumn>
    <tableColumn id="3" xr3:uid="{08D2D7BC-4C20-47DA-AE51-237E01C438D0}" name="Publication Year" dataDxfId="112">
      <calculatedColumnFormula>VLOOKUP(Tabelle434[[#This Row],[Key]],'3. Unique Results'!A:X,3,FALSE)</calculatedColumnFormula>
    </tableColumn>
    <tableColumn id="4" xr3:uid="{E5A2D9A1-96E5-4F32-B9AC-42DC655A54B9}" name="Author" dataDxfId="111">
      <calculatedColumnFormula>VLOOKUP(Tabelle434[[#This Row],[Key]],'3. Unique Results'!A:X,4,FALSE)</calculatedColumnFormula>
    </tableColumn>
    <tableColumn id="5" xr3:uid="{441C707F-89EA-4634-8D05-0E1F3620CE55}" name="Title" dataDxfId="110">
      <calculatedColumnFormula>VLOOKUP(Tabelle434[[#This Row],[Key]],'3. Unique Results'!A:X,5,FALSE)</calculatedColumnFormula>
    </tableColumn>
    <tableColumn id="6" xr3:uid="{DDA925CE-AA05-4F3E-82F5-BCE022E2B72C}" name="Publication Title" dataDxfId="109">
      <calculatedColumnFormula>VLOOKUP(Tabelle434[[#This Row],[Key]],'3. Unique Results'!A:X,6,FALSE)</calculatedColumnFormula>
    </tableColumn>
    <tableColumn id="7" xr3:uid="{BDDCBA72-251E-41C2-B65E-6E2552782605}" name="ISBN" dataDxfId="108">
      <calculatedColumnFormula>VLOOKUP(Tabelle434[[#This Row],[Key]],'3. Unique Results'!A:X,7,FALSE)</calculatedColumnFormula>
    </tableColumn>
    <tableColumn id="8" xr3:uid="{CA2C0737-E82F-4C6F-87C7-24363B87B108}" name="ISSN" dataDxfId="107">
      <calculatedColumnFormula>VLOOKUP(Tabelle434[[#This Row],[Key]],'3. Unique Results'!A:X,8,FALSE)</calculatedColumnFormula>
    </tableColumn>
    <tableColumn id="9" xr3:uid="{7D1FB6DC-3269-4BB5-AD08-B78CF47E73DA}" name="DOI" dataDxfId="106">
      <calculatedColumnFormula>VLOOKUP(Tabelle434[[#This Row],[Key]],'3. Unique Results'!A:X,9,FALSE)</calculatedColumnFormula>
    </tableColumn>
    <tableColumn id="10" xr3:uid="{B5F74816-3E8A-48D1-BB0A-D3EA2F8CEA43}" name="Url" dataDxfId="105">
      <calculatedColumnFormula>VLOOKUP(Tabelle434[[#This Row],[Key]],'3. Unique Results'!A:X,10,FALSE)</calculatedColumnFormula>
    </tableColumn>
    <tableColumn id="11" xr3:uid="{4AB2CA0D-9549-47D6-A631-C94237BC9E59}" name="Abstract Note" dataDxfId="104">
      <calculatedColumnFormula>VLOOKUP(Tabelle434[[#This Row],[Key]],'3. Unique Results'!A:X,11,FALSE)</calculatedColumnFormula>
    </tableColumn>
    <tableColumn id="12" xr3:uid="{BBB3DB13-02B8-42D0-8F6F-4FF82A7E8366}" name="Date" dataDxfId="103">
      <calculatedColumnFormula>VLOOKUP(Tabelle434[[#This Row],[Key]],'3. Unique Results'!A:X,12,FALSE)</calculatedColumnFormula>
    </tableColumn>
    <tableColumn id="13" xr3:uid="{A72E2E60-002E-41FB-ACA2-D8840AC3099A}" name="Date Added" dataDxfId="102">
      <calculatedColumnFormula>VLOOKUP(Tabelle434[[#This Row],[Key]],'3. Unique Results'!A:X,13,FALSE)</calculatedColumnFormula>
    </tableColumn>
    <tableColumn id="14" xr3:uid="{A182DAD5-1787-4262-9D68-7500088CE91E}" name="Date Modified" dataDxfId="101">
      <calculatedColumnFormula>VLOOKUP(Tabelle434[[#This Row],[Key]],'3. Unique Results'!A:X,14,FALSE)</calculatedColumnFormula>
    </tableColumn>
    <tableColumn id="15" xr3:uid="{217DBD07-50CB-435A-8EFF-E04C28906E73}" name="Access Date" dataDxfId="100">
      <calculatedColumnFormula>VLOOKUP(Tabelle434[[#This Row],[Key]],'3. Unique Results'!A:X,15,FALSE)</calculatedColumnFormula>
    </tableColumn>
    <tableColumn id="16" xr3:uid="{79E6C798-82C2-4C58-8CFF-AA9CC7568057}" name="Pages" dataDxfId="99">
      <calculatedColumnFormula>VLOOKUP(Tabelle434[[#This Row],[Key]],'3. Unique Results'!A:X,16,FALSE)</calculatedColumnFormula>
    </tableColumn>
    <tableColumn id="17" xr3:uid="{CC8F0117-C92F-4076-982A-903898219C07}" name="Num Pages" dataDxfId="98">
      <calculatedColumnFormula>VLOOKUP(Tabelle434[[#This Row],[Key]],'3. Unique Results'!A:X,17,FALSE)</calculatedColumnFormula>
    </tableColumn>
    <tableColumn id="18" xr3:uid="{48CC8CCC-988C-4D62-A5CB-2D76A0D9FF55}" name="Issue" dataDxfId="97">
      <calculatedColumnFormula>VLOOKUP(Tabelle434[[#This Row],[Key]],'3. Unique Results'!A:X,18,FALSE)</calculatedColumnFormula>
    </tableColumn>
    <tableColumn id="19" xr3:uid="{05F241BD-6190-4DDF-A485-0B065A185BE6}" name="Volume" dataDxfId="96">
      <calculatedColumnFormula>VLOOKUP(Tabelle434[[#This Row],[Key]],'3. Unique Results'!A:X,19,FALSE)</calculatedColumnFormula>
    </tableColumn>
    <tableColumn id="20" xr3:uid="{C57AF34E-D9ED-4940-A5B0-B93FC5C3833D}" name="Series" dataDxfId="95">
      <calculatedColumnFormula>VLOOKUP(Tabelle434[[#This Row],[Key]],'3. Unique Results'!A:X,20,FALSE)</calculatedColumnFormula>
    </tableColumn>
    <tableColumn id="21" xr3:uid="{74BAD31A-2FB5-489E-B15A-AD2FA4E2D4B1}" name="Publisher" dataDxfId="94">
      <calculatedColumnFormula>VLOOKUP(Tabelle434[[#This Row],[Key]],'3. Unique Results'!A:X,21,FALSE)</calculatedColumnFormula>
    </tableColumn>
    <tableColumn id="22" xr3:uid="{F2A730FD-81C5-4371-A0E5-34F866207ACB}" name="Place" dataDxfId="93">
      <calculatedColumnFormula>VLOOKUP(Tabelle434[[#This Row],[Key]],'3. Unique Results'!A:X,22,FALSE)</calculatedColumnFormula>
    </tableColumn>
    <tableColumn id="23" xr3:uid="{475D2930-E3BA-4CA6-98D6-0248CF600AC9}" name="Extra" dataDxfId="92">
      <calculatedColumnFormula>VLOOKUP(Tabelle434[[#This Row],[Key]],'3. Unique Results'!A:X,23,FALSE)</calculatedColumnFormula>
    </tableColumn>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626B846-3108-432B-82A5-BB0A4EDBEE04}" name="Tabelle9" displayName="Tabelle9" ref="A1:W15" totalsRowShown="0" headerRowDxfId="91" headerRowBorderDxfId="90" tableBorderDxfId="89" totalsRowBorderDxfId="88">
  <autoFilter ref="A1:W15" xr:uid="{2626B846-3108-432B-82A5-BB0A4EDBEE04}"/>
  <tableColumns count="23">
    <tableColumn id="1" xr3:uid="{3B1B70F5-8EF9-43C4-B9B1-85E01F3B0684}" name="Key" dataDxfId="87"/>
    <tableColumn id="2" xr3:uid="{A22F1FC0-78FF-4708-9F1E-0F6CB52054B7}" name="Item Type" dataDxfId="86"/>
    <tableColumn id="3" xr3:uid="{DA02E631-B1DF-498D-B20F-BC2305041704}" name="Publication Year" dataDxfId="85"/>
    <tableColumn id="4" xr3:uid="{E3779246-3040-41EA-B2CA-D9D9C1452FC1}" name="Author" dataDxfId="84"/>
    <tableColumn id="5" xr3:uid="{95602744-1E8C-4F7E-A6A7-E3BC0AFEDBFA}" name="Title" dataDxfId="83"/>
    <tableColumn id="6" xr3:uid="{CC592544-4DFB-4312-A328-A450362877B4}" name="Publication Title" dataDxfId="82"/>
    <tableColumn id="7" xr3:uid="{198CD2C2-BFF9-4941-A67F-2C96A8C2A5F1}" name="ISBN" dataDxfId="81"/>
    <tableColumn id="8" xr3:uid="{547ABF23-756C-46C3-A76E-FC4D6A730636}" name="ISSN" dataDxfId="80"/>
    <tableColumn id="9" xr3:uid="{163D8295-42C0-430B-B76F-32BF2FF2C4D7}" name="DOI" dataDxfId="79"/>
    <tableColumn id="10" xr3:uid="{BFCDD5DC-DF4E-4985-87BE-409F6A8E6E0C}" name="Url" dataDxfId="78"/>
    <tableColumn id="11" xr3:uid="{A4F46BFC-37F3-46BF-BED5-4415287AE731}" name="Abstract Note" dataDxfId="77"/>
    <tableColumn id="12" xr3:uid="{D7E4177C-A500-4C1B-870B-49C168CFA89A}" name="Date" dataDxfId="76"/>
    <tableColumn id="13" xr3:uid="{416FA443-9F3B-47E2-B2F5-6ED462AF89C3}" name="Date Added" dataDxfId="75"/>
    <tableColumn id="14" xr3:uid="{EC51D895-D56F-4E47-B752-D2D442B1C285}" name="Date Modified" dataDxfId="74"/>
    <tableColumn id="15" xr3:uid="{28D0513A-84BE-4823-B92F-5E96934732F1}" name="Access Date" dataDxfId="73"/>
    <tableColumn id="16" xr3:uid="{6C7B8EE1-6AEE-4C9F-98D5-956E09BCBBC6}" name="Pages" dataDxfId="72"/>
    <tableColumn id="17" xr3:uid="{BD8F791D-7360-492B-9AFC-548615EE72EF}" name="Num Pages" dataDxfId="71"/>
    <tableColumn id="18" xr3:uid="{256048DA-1A20-45C0-A897-24C27F6957D4}" name="Issue" dataDxfId="70"/>
    <tableColumn id="19" xr3:uid="{85B75DE1-29E2-44E9-904A-4B28FF72CB86}" name="Volume" dataDxfId="69"/>
    <tableColumn id="20" xr3:uid="{EA664437-9317-4760-A604-80A4FCD52B7A}" name="Series" dataDxfId="68"/>
    <tableColumn id="21" xr3:uid="{013D0221-699D-455E-AD12-201A0E61B57F}" name="Publisher" dataDxfId="67"/>
    <tableColumn id="22" xr3:uid="{714B342E-1792-4491-8DDD-851A0A0208AF}" name="Place" dataDxfId="66"/>
    <tableColumn id="23" xr3:uid="{B3C750C1-97BB-4F87-9562-A84D7267E042}" name="Extra" dataDxfId="65"/>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A544B-F90E-4796-BFE3-AC223F3C5DEC}" name="Tabelle92" displayName="Tabelle92" ref="A1:W8" totalsRowShown="0" headerRowDxfId="64" dataDxfId="62" headerRowBorderDxfId="63" tableBorderDxfId="61" totalsRowBorderDxfId="60">
  <autoFilter ref="A1:W8" xr:uid="{2626B846-3108-432B-82A5-BB0A4EDBEE04}"/>
  <tableColumns count="23">
    <tableColumn id="1" xr3:uid="{EB9CC6B2-974B-489E-877D-1874B801F6C5}" name="Key" dataDxfId="59"/>
    <tableColumn id="2" xr3:uid="{AF0931E0-92A5-4EA1-BF4D-4F0C05D69E35}" name="Item Type" dataDxfId="58"/>
    <tableColumn id="3" xr3:uid="{D5301E0C-D492-4DC3-9FB7-F5100392DA19}" name="Publication Year" dataDxfId="57"/>
    <tableColumn id="4" xr3:uid="{5CE404BE-C3EF-42F6-A072-DBDA96F73DA6}" name="Author" dataDxfId="56"/>
    <tableColumn id="5" xr3:uid="{CE1F0A7A-0C4C-4F78-B8AB-23910989B69E}" name="Title" dataDxfId="55"/>
    <tableColumn id="6" xr3:uid="{000B9B3C-A38E-43AE-9B50-0475D5228592}" name="Publication Title" dataDxfId="54"/>
    <tableColumn id="7" xr3:uid="{8101D4D7-E950-4F9C-853B-D450B9E3892C}" name="ISBN" dataDxfId="53"/>
    <tableColumn id="8" xr3:uid="{EE5B7A7C-DD7B-435C-B7AF-9DD9C82019D4}" name="ISSN" dataDxfId="52"/>
    <tableColumn id="9" xr3:uid="{D6D2A948-0C8B-4607-B762-E671EAEB6169}" name="DOI" dataDxfId="51"/>
    <tableColumn id="10" xr3:uid="{5DB4D4F3-CB65-4225-A033-4939CAB2BC5A}" name="Url" dataDxfId="50"/>
    <tableColumn id="11" xr3:uid="{0170A2EE-1581-4B67-A0CA-A58C40631D24}" name="Abstract Note" dataDxfId="49"/>
    <tableColumn id="12" xr3:uid="{2B54D7F1-98A1-4538-83A5-D7E668B991DE}" name="Date" dataDxfId="48"/>
    <tableColumn id="13" xr3:uid="{E70E701D-5ADC-41FC-A65E-E9038E35A71F}" name="Date Added" dataDxfId="47"/>
    <tableColumn id="14" xr3:uid="{56B1A83D-037A-492E-BF87-CCDEE988CC38}" name="Date Modified" dataDxfId="46"/>
    <tableColumn id="15" xr3:uid="{D884E16C-5E15-4779-9B3A-970D0779C29A}" name="Access Date" dataDxfId="45"/>
    <tableColumn id="16" xr3:uid="{5601D947-0C69-4A24-8993-C004CC31200D}" name="Pages" dataDxfId="44"/>
    <tableColumn id="17" xr3:uid="{119F1F9C-7347-4745-B93B-7F4FAB611FCA}" name="Num Pages" dataDxfId="43"/>
    <tableColumn id="18" xr3:uid="{98BEE47E-3FC4-4B2D-92BC-1C2BBEC49911}" name="Issue" dataDxfId="42"/>
    <tableColumn id="19" xr3:uid="{3B265908-A080-44AE-9F38-331312CF8B86}" name="Volume" dataDxfId="41"/>
    <tableColumn id="20" xr3:uid="{8118A282-83C0-40DB-B993-FDB19916A666}" name="Series" dataDxfId="40"/>
    <tableColumn id="21" xr3:uid="{250DD1B2-1F03-47C7-A20F-EC69DF1F6229}" name="Publisher" dataDxfId="39"/>
    <tableColumn id="22" xr3:uid="{846AEEA6-EC81-4250-9180-6B8562E1624E}" name="Place" dataDxfId="38"/>
    <tableColumn id="23" xr3:uid="{A4D77B58-ACBF-4579-A05A-32ECBEDD46D0}" name="Extra" dataDxfId="37"/>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E1DC7B-6C55-4476-A1F0-070FAF9C14F4}" name="Tabelle5" displayName="Tabelle5" ref="A3:U20" headerRowCount="0" totalsRowShown="0" dataDxfId="36">
  <tableColumns count="21">
    <tableColumn id="1" xr3:uid="{1DA2C261-D174-40FE-BB5F-DB69F0C9480A}" name="Spalte1" dataDxfId="35"/>
    <tableColumn id="2" xr3:uid="{D55F16AE-A896-4211-BE49-337E128AF56F}" name="Spalte2"/>
    <tableColumn id="3" xr3:uid="{CC8576E0-AE3F-48FE-B1F5-E502926FB0F8}" name="Spalte3" dataDxfId="34"/>
    <tableColumn id="4" xr3:uid="{C7ED46C3-853C-4BBC-ADC6-096B209D5DED}" name="Paper ID:" headerRowDxfId="33" dataDxfId="32"/>
    <tableColumn id="5" xr3:uid="{E13E00A1-5620-4233-B436-CD5B038AAE59}" name="UCWWRPIQ" headerRowDxfId="31" dataDxfId="30"/>
    <tableColumn id="6" xr3:uid="{9E114E55-4C70-4DCF-8565-ACCDCAD7271B}" name="BQTIAXTW" headerRowDxfId="29" dataDxfId="28"/>
    <tableColumn id="7" xr3:uid="{A479BFBA-56D8-4F1F-9A9B-DF07416996C6}" name="UJPER7V8" headerRowDxfId="27" dataDxfId="26"/>
    <tableColumn id="8" xr3:uid="{F661FC67-242C-4EC0-9088-40011BFD92A5}" name="3QB88ANK" headerRowDxfId="25" dataDxfId="24"/>
    <tableColumn id="9" xr3:uid="{D916AE1C-800E-4654-BA57-651C649D3CCB}" name="L7QXGU8P" dataDxfId="23"/>
    <tableColumn id="10" xr3:uid="{634A354B-1E00-4904-B961-2A8FA7572A29}" name="HMQVEDXS" headerRowDxfId="22" dataDxfId="21"/>
    <tableColumn id="11" xr3:uid="{E7F9E229-BD77-46C1-80ED-8F2047B309A1}" name="SLULQZRF" headerRowDxfId="20" dataDxfId="19"/>
    <tableColumn id="12" xr3:uid="{9F35C895-1687-437C-A9FA-BE07D6E6E5ED}" name="HNLKTP5J" headerRowDxfId="18" dataDxfId="17"/>
    <tableColumn id="13" xr3:uid="{B2C51C27-57C4-4762-8B2E-14D1D282D723}" name="AVGA8TJW" headerRowDxfId="16" dataDxfId="15"/>
    <tableColumn id="14" xr3:uid="{B8A9FB44-A791-4C0B-BEC0-AE65300A4657}" name="ANY24S8B" headerRowDxfId="14" dataDxfId="13"/>
    <tableColumn id="15" xr3:uid="{0BAD76AC-4E30-4BCE-9448-3EBEE3AF0509}" name="7SMEDRAN" headerRowDxfId="12" dataDxfId="11"/>
    <tableColumn id="16" xr3:uid="{3E23D1F4-9C59-49A4-82D3-7F12A58D653B}" name="V3QBE3TK" dataDxfId="10"/>
    <tableColumn id="17" xr3:uid="{F5B7221F-C2E2-4161-AA07-3E96C82B24B9}" name="R9ALKAH3" headerRowDxfId="9" dataDxfId="8"/>
    <tableColumn id="18" xr3:uid="{1A37F843-A173-45AF-AD0D-49B5D4F6A478}" name="NW73NKWY" headerRowDxfId="7" dataDxfId="6"/>
    <tableColumn id="19" xr3:uid="{7E42AC5E-0956-4150-A585-3585B0668DA9}" name="XQ6GQKI8" headerRowDxfId="5" dataDxfId="4"/>
    <tableColumn id="20" xr3:uid="{C94D4976-2B4B-4408-80A1-5CFFCE532128}" name="8W7BSBQX" headerRowDxfId="3" dataDxfId="2"/>
    <tableColumn id="21" xr3:uid="{990AA7E9-2F45-4C3F-AA9D-B7881DE8397C}" name="E77DCQEB" headerRowDxfId="1"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5B3B0-20F2-4399-B3DA-DC0FA8BEFD99}">
  <sheetPr>
    <outlinePr summaryBelow="0" summaryRight="0"/>
  </sheetPr>
  <dimension ref="A1:AB998"/>
  <sheetViews>
    <sheetView tabSelected="1" workbookViewId="0"/>
    <sheetView workbookViewId="1"/>
  </sheetViews>
  <sheetFormatPr baseColWidth="10" defaultColWidth="12.54296875" defaultRowHeight="15.75" customHeight="1"/>
  <cols>
    <col min="1" max="1" width="4.453125" style="5" customWidth="1"/>
    <col min="2" max="2" width="45.81640625" style="5" customWidth="1"/>
    <col min="3" max="3" width="61.81640625" style="5" customWidth="1"/>
    <col min="4" max="4" width="129.453125" style="5" customWidth="1"/>
    <col min="5" max="16384" width="12.54296875" style="5"/>
  </cols>
  <sheetData>
    <row r="1" spans="1:28" ht="15.75" customHeight="1">
      <c r="A1" s="1"/>
      <c r="B1" s="2" t="s">
        <v>0</v>
      </c>
      <c r="C1" s="2"/>
      <c r="D1" s="3"/>
      <c r="E1" s="4"/>
      <c r="F1" s="4"/>
      <c r="G1" s="4"/>
      <c r="H1" s="4"/>
      <c r="I1" s="4"/>
      <c r="J1" s="4"/>
      <c r="K1" s="4"/>
      <c r="L1" s="4"/>
      <c r="M1" s="4"/>
      <c r="N1" s="4"/>
      <c r="O1" s="4"/>
      <c r="P1" s="4"/>
      <c r="Q1" s="4"/>
      <c r="R1" s="4"/>
      <c r="S1" s="4"/>
      <c r="T1" s="4"/>
      <c r="U1" s="4"/>
      <c r="V1" s="4"/>
      <c r="W1" s="4"/>
      <c r="X1" s="4"/>
      <c r="Y1" s="4"/>
      <c r="Z1" s="4"/>
      <c r="AA1" s="4"/>
      <c r="AB1" s="4"/>
    </row>
    <row r="2" spans="1:28" ht="15.75" customHeight="1">
      <c r="A2" s="6"/>
      <c r="B2" s="7" t="s">
        <v>1</v>
      </c>
      <c r="C2" s="9" t="s">
        <v>6164</v>
      </c>
      <c r="D2" s="3"/>
      <c r="E2" s="4"/>
      <c r="F2" s="4"/>
      <c r="G2" s="4"/>
      <c r="H2" s="4"/>
      <c r="I2" s="4"/>
      <c r="J2" s="4"/>
      <c r="K2" s="4"/>
      <c r="L2" s="4"/>
      <c r="M2" s="4"/>
      <c r="N2" s="4"/>
      <c r="O2" s="4"/>
      <c r="P2" s="4"/>
      <c r="Q2" s="4"/>
      <c r="R2" s="4"/>
      <c r="S2" s="4"/>
      <c r="T2" s="4"/>
      <c r="U2" s="4"/>
      <c r="V2" s="4"/>
      <c r="W2" s="4"/>
      <c r="X2" s="4"/>
      <c r="Y2" s="4"/>
      <c r="Z2" s="4"/>
      <c r="AA2" s="4"/>
      <c r="AB2" s="4"/>
    </row>
    <row r="3" spans="1:28" ht="13">
      <c r="A3" s="6"/>
      <c r="B3" s="7" t="s">
        <v>2</v>
      </c>
      <c r="C3" s="10" t="s">
        <v>6165</v>
      </c>
      <c r="D3" s="3"/>
      <c r="E3" s="4"/>
      <c r="F3" s="4"/>
      <c r="G3" s="4"/>
      <c r="H3" s="4"/>
      <c r="I3" s="4"/>
      <c r="J3" s="4"/>
      <c r="K3" s="4"/>
      <c r="L3" s="4"/>
      <c r="M3" s="4"/>
      <c r="N3" s="4"/>
      <c r="O3" s="4"/>
      <c r="P3" s="4"/>
      <c r="Q3" s="4"/>
      <c r="R3" s="4"/>
      <c r="S3" s="4"/>
      <c r="T3" s="4"/>
      <c r="U3" s="4"/>
      <c r="V3" s="4"/>
      <c r="W3" s="4"/>
      <c r="X3" s="4"/>
      <c r="Y3" s="4"/>
      <c r="Z3" s="4"/>
      <c r="AA3" s="4"/>
      <c r="AB3" s="4"/>
    </row>
    <row r="4" spans="1:28" ht="15.75" customHeight="1">
      <c r="A4" s="6"/>
      <c r="B4" s="7" t="s">
        <v>3</v>
      </c>
      <c r="C4" s="9" t="s">
        <v>6166</v>
      </c>
      <c r="D4" s="3"/>
      <c r="E4" s="4"/>
      <c r="F4" s="4"/>
      <c r="G4" s="4"/>
      <c r="H4" s="4"/>
      <c r="I4" s="4"/>
      <c r="J4" s="4"/>
      <c r="K4" s="4"/>
      <c r="L4" s="4"/>
      <c r="M4" s="4"/>
      <c r="N4" s="4"/>
      <c r="O4" s="4"/>
      <c r="P4" s="4"/>
      <c r="Q4" s="4"/>
      <c r="R4" s="4"/>
      <c r="S4" s="4"/>
      <c r="T4" s="4"/>
      <c r="U4" s="4"/>
      <c r="V4" s="4"/>
      <c r="W4" s="4"/>
      <c r="X4" s="4"/>
      <c r="Y4" s="4"/>
      <c r="Z4" s="4"/>
      <c r="AA4" s="4"/>
      <c r="AB4" s="4"/>
    </row>
    <row r="5" spans="1:28" ht="15.75" customHeight="1">
      <c r="A5" s="6"/>
      <c r="B5" s="7" t="s">
        <v>4</v>
      </c>
      <c r="C5" s="9" t="s">
        <v>5</v>
      </c>
      <c r="D5" s="3"/>
      <c r="E5" s="4"/>
      <c r="F5" s="4"/>
      <c r="G5" s="4"/>
      <c r="H5" s="4"/>
      <c r="I5" s="4"/>
      <c r="J5" s="4"/>
      <c r="K5" s="4"/>
      <c r="L5" s="4"/>
      <c r="M5" s="4"/>
      <c r="N5" s="4"/>
      <c r="O5" s="4"/>
      <c r="P5" s="4"/>
      <c r="Q5" s="4"/>
      <c r="R5" s="4"/>
      <c r="S5" s="4"/>
      <c r="T5" s="4"/>
      <c r="U5" s="4"/>
      <c r="V5" s="4"/>
      <c r="W5" s="4"/>
      <c r="X5" s="4"/>
      <c r="Y5" s="4"/>
      <c r="Z5" s="4"/>
      <c r="AA5" s="4"/>
      <c r="AB5" s="4"/>
    </row>
    <row r="6" spans="1:28" ht="15.75" customHeight="1">
      <c r="A6" s="1"/>
      <c r="B6" s="1"/>
      <c r="C6" s="1"/>
      <c r="D6" s="3"/>
      <c r="E6" s="4"/>
      <c r="F6" s="4"/>
      <c r="G6" s="4"/>
      <c r="H6" s="4"/>
      <c r="I6" s="4"/>
      <c r="J6" s="4"/>
      <c r="K6" s="4"/>
      <c r="L6" s="4"/>
      <c r="M6" s="4"/>
      <c r="N6" s="4"/>
      <c r="O6" s="4"/>
      <c r="P6" s="4"/>
      <c r="Q6" s="4"/>
      <c r="R6" s="4"/>
      <c r="S6" s="4"/>
      <c r="T6" s="4"/>
      <c r="U6" s="4"/>
      <c r="V6" s="4"/>
      <c r="W6" s="4"/>
      <c r="X6" s="4"/>
      <c r="Y6" s="4"/>
      <c r="Z6" s="4"/>
      <c r="AA6" s="4"/>
      <c r="AB6" s="4"/>
    </row>
    <row r="7" spans="1:28" ht="15.75" customHeight="1">
      <c r="A7" s="1"/>
      <c r="B7" s="1" t="s">
        <v>6</v>
      </c>
      <c r="C7" s="1"/>
      <c r="D7" s="3"/>
      <c r="E7" s="4"/>
      <c r="F7" s="4"/>
      <c r="G7" s="4"/>
      <c r="H7" s="4"/>
      <c r="I7" s="4"/>
      <c r="J7" s="4"/>
      <c r="K7" s="4"/>
      <c r="L7" s="4"/>
      <c r="M7" s="4"/>
      <c r="N7" s="4"/>
      <c r="O7" s="4"/>
      <c r="P7" s="4"/>
      <c r="Q7" s="4"/>
      <c r="R7" s="4"/>
      <c r="S7" s="4"/>
      <c r="T7" s="4"/>
      <c r="U7" s="4"/>
      <c r="V7" s="4"/>
      <c r="W7" s="4"/>
      <c r="X7" s="4"/>
      <c r="Y7" s="4"/>
      <c r="Z7" s="4"/>
      <c r="AA7" s="4"/>
      <c r="AB7" s="4"/>
    </row>
    <row r="8" spans="1:28" ht="13">
      <c r="A8" s="8"/>
      <c r="B8" s="8" t="s">
        <v>7</v>
      </c>
      <c r="C8" s="1"/>
      <c r="D8" s="3"/>
      <c r="E8" s="4"/>
      <c r="F8" s="4"/>
      <c r="G8" s="4"/>
      <c r="H8" s="4"/>
      <c r="I8" s="4"/>
      <c r="J8" s="4"/>
      <c r="K8" s="4"/>
      <c r="L8" s="4"/>
      <c r="M8" s="4"/>
      <c r="N8" s="4"/>
      <c r="O8" s="4"/>
      <c r="P8" s="4"/>
      <c r="Q8" s="4"/>
      <c r="R8" s="4"/>
      <c r="S8" s="4"/>
      <c r="T8" s="4"/>
      <c r="U8" s="4"/>
      <c r="V8" s="4"/>
      <c r="W8" s="4"/>
      <c r="X8" s="4"/>
      <c r="Y8" s="4"/>
      <c r="Z8" s="4"/>
      <c r="AA8" s="4"/>
      <c r="AB8" s="4"/>
    </row>
    <row r="9" spans="1:28" ht="15.75" customHeight="1">
      <c r="A9" s="1"/>
      <c r="B9" s="1"/>
      <c r="C9" s="1"/>
      <c r="D9" s="3"/>
      <c r="E9" s="4"/>
      <c r="F9" s="4"/>
      <c r="G9" s="4"/>
      <c r="H9" s="4"/>
      <c r="I9" s="4"/>
      <c r="J9" s="4"/>
      <c r="K9" s="4"/>
      <c r="L9" s="4"/>
      <c r="M9" s="4"/>
      <c r="N9" s="4"/>
      <c r="O9" s="4"/>
      <c r="P9" s="4"/>
      <c r="Q9" s="4"/>
      <c r="R9" s="4"/>
      <c r="S9" s="4"/>
      <c r="T9" s="4"/>
      <c r="U9" s="4"/>
      <c r="V9" s="4"/>
      <c r="W9" s="4"/>
      <c r="X9" s="4"/>
      <c r="Y9" s="4"/>
      <c r="Z9" s="4"/>
      <c r="AA9" s="4"/>
      <c r="AB9" s="4"/>
    </row>
    <row r="10" spans="1:28" ht="15.75"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row>
    <row r="11" spans="1:28" ht="15.75"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row>
    <row r="12" spans="1:28" ht="1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row>
    <row r="13" spans="1:28" ht="13">
      <c r="A13" s="76" t="s">
        <v>13</v>
      </c>
      <c r="B13" s="76" t="s">
        <v>6149</v>
      </c>
      <c r="C13" s="76" t="s">
        <v>6150</v>
      </c>
      <c r="E13" s="4"/>
      <c r="F13" s="4"/>
      <c r="G13" s="4"/>
      <c r="H13" s="4"/>
      <c r="I13" s="4"/>
      <c r="J13" s="4"/>
      <c r="K13" s="4"/>
      <c r="L13" s="4"/>
      <c r="M13" s="4"/>
      <c r="N13" s="4"/>
      <c r="O13" s="4"/>
      <c r="P13" s="4"/>
      <c r="Q13" s="4"/>
      <c r="R13" s="4"/>
      <c r="S13" s="4"/>
      <c r="T13" s="4"/>
      <c r="U13" s="4"/>
      <c r="V13" s="4"/>
      <c r="W13" s="4"/>
      <c r="X13" s="4"/>
      <c r="Y13" s="4"/>
      <c r="Z13" s="4"/>
      <c r="AA13" s="4"/>
      <c r="AB13" s="4"/>
    </row>
    <row r="14" spans="1:28" ht="37.5">
      <c r="A14" s="11" t="s">
        <v>8</v>
      </c>
      <c r="B14" s="77" t="s">
        <v>6151</v>
      </c>
      <c r="C14" s="77" t="s">
        <v>6152</v>
      </c>
      <c r="E14" s="4"/>
      <c r="F14" s="4"/>
      <c r="G14" s="4"/>
      <c r="H14" s="4"/>
      <c r="I14" s="4"/>
      <c r="J14" s="4"/>
      <c r="K14" s="4"/>
      <c r="L14" s="4"/>
      <c r="M14" s="4"/>
      <c r="N14" s="4"/>
      <c r="O14" s="4"/>
      <c r="P14" s="4"/>
      <c r="Q14" s="4"/>
      <c r="R14" s="4"/>
      <c r="S14" s="4"/>
      <c r="T14" s="4"/>
      <c r="U14" s="4"/>
      <c r="V14" s="4"/>
      <c r="W14" s="4"/>
      <c r="X14" s="4"/>
      <c r="Y14" s="4"/>
      <c r="Z14" s="4"/>
      <c r="AA14" s="4"/>
      <c r="AB14" s="4"/>
    </row>
    <row r="15" spans="1:28" ht="37.5">
      <c r="A15" s="11" t="s">
        <v>9</v>
      </c>
      <c r="B15" s="77" t="s">
        <v>6153</v>
      </c>
      <c r="C15" s="77" t="s">
        <v>6154</v>
      </c>
      <c r="E15" s="4"/>
      <c r="F15" s="4"/>
      <c r="G15" s="4"/>
      <c r="H15" s="4"/>
      <c r="I15" s="4"/>
      <c r="J15" s="4"/>
      <c r="K15" s="4"/>
      <c r="L15" s="4"/>
      <c r="M15" s="4"/>
      <c r="N15" s="4"/>
      <c r="O15" s="4"/>
      <c r="P15" s="4"/>
      <c r="Q15" s="4"/>
      <c r="R15" s="4"/>
      <c r="S15" s="4"/>
      <c r="T15" s="4"/>
      <c r="U15" s="4"/>
      <c r="V15" s="4"/>
      <c r="W15" s="4"/>
      <c r="X15" s="4"/>
      <c r="Y15" s="4"/>
      <c r="Z15" s="4"/>
      <c r="AA15" s="4"/>
      <c r="AB15" s="4"/>
    </row>
    <row r="16" spans="1:28" ht="37.5">
      <c r="A16" s="11" t="s">
        <v>10</v>
      </c>
      <c r="B16" s="77" t="s">
        <v>6155</v>
      </c>
      <c r="C16" s="77" t="s">
        <v>6156</v>
      </c>
      <c r="E16" s="4"/>
      <c r="F16" s="4"/>
      <c r="G16" s="4"/>
      <c r="H16" s="4"/>
      <c r="I16" s="4"/>
      <c r="J16" s="4"/>
      <c r="K16" s="4"/>
      <c r="L16" s="4"/>
      <c r="M16" s="4"/>
      <c r="N16" s="4"/>
      <c r="O16" s="4"/>
      <c r="P16" s="4"/>
      <c r="Q16" s="4"/>
      <c r="R16" s="4"/>
      <c r="S16" s="4"/>
      <c r="T16" s="4"/>
      <c r="U16" s="4"/>
      <c r="V16" s="4"/>
      <c r="W16" s="4"/>
      <c r="X16" s="4"/>
      <c r="Y16" s="4"/>
      <c r="Z16" s="4"/>
      <c r="AA16" s="4"/>
      <c r="AB16" s="4"/>
    </row>
    <row r="17" spans="1:28" ht="50">
      <c r="A17" s="11" t="s">
        <v>11</v>
      </c>
      <c r="B17" s="77" t="s">
        <v>6157</v>
      </c>
      <c r="C17" s="77" t="s">
        <v>6158</v>
      </c>
      <c r="E17" s="4"/>
      <c r="F17" s="4"/>
      <c r="G17" s="4"/>
      <c r="H17" s="4"/>
      <c r="I17" s="4"/>
      <c r="J17" s="4"/>
      <c r="K17" s="4"/>
      <c r="L17" s="4"/>
      <c r="M17" s="4"/>
      <c r="N17" s="4"/>
      <c r="O17" s="4"/>
      <c r="P17" s="4"/>
      <c r="Q17" s="4"/>
      <c r="R17" s="4"/>
      <c r="S17" s="4"/>
      <c r="T17" s="4"/>
      <c r="U17" s="4"/>
      <c r="V17" s="4"/>
      <c r="W17" s="4"/>
      <c r="X17" s="4"/>
      <c r="Y17" s="4"/>
      <c r="Z17" s="4"/>
      <c r="AA17" s="4"/>
      <c r="AB17" s="4"/>
    </row>
    <row r="18" spans="1:28" ht="50">
      <c r="A18" s="11" t="s">
        <v>12</v>
      </c>
      <c r="B18" s="77" t="s">
        <v>6159</v>
      </c>
      <c r="C18" s="77" t="s">
        <v>6160</v>
      </c>
      <c r="E18" s="4"/>
      <c r="F18" s="4"/>
      <c r="G18" s="4"/>
      <c r="H18" s="4"/>
      <c r="I18" s="4"/>
      <c r="J18" s="4"/>
      <c r="K18" s="4"/>
      <c r="L18" s="4"/>
      <c r="M18" s="4"/>
      <c r="N18" s="4"/>
      <c r="O18" s="4"/>
      <c r="P18" s="4"/>
      <c r="Q18" s="4"/>
      <c r="R18" s="4"/>
      <c r="S18" s="4"/>
      <c r="T18" s="4"/>
      <c r="U18" s="4"/>
      <c r="V18" s="4"/>
      <c r="W18" s="4"/>
      <c r="X18" s="4"/>
      <c r="Y18" s="4"/>
      <c r="Z18" s="4"/>
      <c r="AA18" s="4"/>
      <c r="AB18" s="4"/>
    </row>
    <row r="19" spans="1:28" ht="50">
      <c r="A19" s="11" t="s">
        <v>6161</v>
      </c>
      <c r="B19" s="77" t="s">
        <v>6162</v>
      </c>
      <c r="C19" s="77" t="s">
        <v>6163</v>
      </c>
      <c r="E19" s="4"/>
      <c r="F19" s="4"/>
      <c r="G19" s="4"/>
      <c r="H19" s="4"/>
      <c r="I19" s="4"/>
      <c r="J19" s="4"/>
      <c r="K19" s="4"/>
      <c r="L19" s="4"/>
      <c r="M19" s="4"/>
      <c r="N19" s="4"/>
      <c r="O19" s="4"/>
      <c r="P19" s="4"/>
      <c r="Q19" s="4"/>
      <c r="R19" s="4"/>
      <c r="S19" s="4"/>
      <c r="T19" s="4"/>
      <c r="U19" s="4"/>
      <c r="V19" s="4"/>
      <c r="W19" s="4"/>
      <c r="X19" s="4"/>
      <c r="Y19" s="4"/>
      <c r="Z19" s="4"/>
      <c r="AA19" s="4"/>
      <c r="AB19" s="4"/>
    </row>
    <row r="20" spans="1:28" ht="1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row>
    <row r="21" spans="1:28" ht="1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row>
    <row r="22" spans="1:28" ht="1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row>
    <row r="23" spans="1:28" ht="1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row>
    <row r="24" spans="1:28" ht="1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row>
    <row r="25" spans="1:28" ht="1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row>
    <row r="26" spans="1:28" ht="1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row>
    <row r="27" spans="1:28" ht="1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row>
    <row r="28" spans="1:28" ht="1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row>
    <row r="29" spans="1:28" ht="1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row>
    <row r="30" spans="1:28" ht="1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row>
    <row r="31" spans="1:28" ht="1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row>
    <row r="32" spans="1:28" ht="1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row>
    <row r="33" spans="1:28" ht="1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row>
    <row r="34" spans="1:28" ht="1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row>
    <row r="35" spans="1:28" ht="1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row>
    <row r="36" spans="1:28" ht="1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row>
    <row r="37" spans="1:28" ht="1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row>
    <row r="38" spans="1:28" ht="1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row>
    <row r="39" spans="1:28" ht="1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row>
    <row r="40" spans="1:28" ht="1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row>
    <row r="41" spans="1:28" ht="1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row>
    <row r="42" spans="1:28" ht="1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row>
    <row r="43" spans="1:28" ht="1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row>
    <row r="44" spans="1:28" ht="1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row>
    <row r="45" spans="1:28" ht="1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row>
    <row r="46" spans="1:28" ht="1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row>
    <row r="47" spans="1:28" ht="1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row>
    <row r="48" spans="1:28" ht="1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row>
    <row r="49" spans="1:28" ht="1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row>
    <row r="50" spans="1:28" ht="1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row>
    <row r="51" spans="1:28" ht="1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row>
    <row r="52" spans="1:28" ht="1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row>
    <row r="53" spans="1:28" ht="1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row>
    <row r="54" spans="1:28" ht="1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spans="1:28" ht="13">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row>
    <row r="56" spans="1:28" ht="13">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row>
    <row r="57" spans="1:28" ht="13">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row>
    <row r="58" spans="1:28" ht="1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row>
    <row r="59" spans="1:28" ht="1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row>
    <row r="60" spans="1:28" ht="13">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row>
    <row r="61" spans="1:28" ht="13">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row>
    <row r="62" spans="1:28" ht="13">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row>
    <row r="63" spans="1:28" ht="1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row>
    <row r="64" spans="1:28" ht="13">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row>
    <row r="65" spans="1:28" ht="13">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row>
    <row r="66" spans="1:28" ht="13">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row>
    <row r="67" spans="1:28" ht="13">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row>
    <row r="68" spans="1:28" ht="13">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row>
    <row r="69" spans="1:28" ht="13">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row>
    <row r="70" spans="1:28" ht="13">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row>
    <row r="71" spans="1:28" ht="1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row>
    <row r="72" spans="1:28" ht="13">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row>
    <row r="73" spans="1:28" ht="1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row>
    <row r="74" spans="1:28" ht="13">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row>
    <row r="75" spans="1:28" ht="13">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row>
    <row r="76" spans="1:28" ht="1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row>
    <row r="77" spans="1:28" ht="13">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row>
    <row r="78" spans="1:28" ht="13">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row>
    <row r="79" spans="1:28" ht="1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row>
    <row r="80" spans="1:28" ht="1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row>
    <row r="81" spans="1:28" ht="1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row>
    <row r="82" spans="1:28" ht="1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row>
    <row r="83" spans="1:28" ht="1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row>
    <row r="84" spans="1:28" ht="1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row>
    <row r="85" spans="1:28" ht="13">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row>
    <row r="86" spans="1:28" ht="13">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row>
    <row r="87" spans="1:28" ht="13">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row>
    <row r="88" spans="1:28" ht="1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row>
    <row r="89" spans="1:28" ht="1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row>
    <row r="90" spans="1:28" ht="13">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row>
    <row r="91" spans="1:28" ht="1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row>
    <row r="92" spans="1:28" ht="13">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row>
    <row r="93" spans="1:28" ht="1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row>
    <row r="94" spans="1:28" ht="1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row>
    <row r="95" spans="1:28" ht="13">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row>
    <row r="96" spans="1:28" ht="13">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row>
    <row r="97" spans="1:28" ht="1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row>
    <row r="98" spans="1:28" ht="13">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row>
    <row r="99" spans="1:28" ht="13">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row>
    <row r="100" spans="1:28" ht="1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spans="1:28" ht="1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spans="1:28" ht="1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spans="1:28" ht="1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spans="1:28" ht="1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spans="1:28" ht="1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spans="1:28" ht="1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spans="1:28" ht="1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spans="1:28" ht="1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spans="1:28" ht="1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spans="1:28" ht="1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spans="1:28" ht="1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spans="1:28" ht="1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spans="1:28" ht="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spans="1:28" ht="1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spans="1:28" ht="1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spans="1:28" ht="1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spans="1:28" ht="1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spans="1:28" ht="1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spans="1:28" ht="1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spans="1:28" ht="1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spans="1:28" ht="1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spans="1:28" ht="1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spans="1:28" ht="1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spans="1:28" ht="1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spans="1:28" ht="1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spans="1:28" ht="1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spans="1:28" ht="1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spans="1:28" ht="1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spans="1:28" ht="1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spans="1:28" ht="1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spans="1:28" ht="1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spans="1:28" ht="1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spans="1:28" ht="1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spans="1:28" ht="1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spans="1:28" ht="1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spans="1:28" ht="1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spans="1:28" ht="1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spans="1:28" ht="1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spans="1:28" ht="1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spans="1:28" ht="1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spans="1:28" ht="1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spans="1:28" ht="1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spans="1:28" ht="1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spans="1:28" ht="1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spans="1:28" ht="13">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spans="1:28" ht="1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spans="1:28" ht="13">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spans="1:28" ht="13">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spans="1:28" ht="13">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spans="1:28" ht="1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spans="1:28" ht="1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spans="1:28" ht="1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spans="1:28" ht="1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spans="1:28" ht="13">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spans="1:28" ht="13">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spans="1:28" ht="1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spans="1:28" ht="13">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spans="1:28" ht="1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spans="1:28" ht="13">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spans="1:28" ht="13">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spans="1:28" ht="1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spans="1:28" ht="13">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spans="1:28" ht="1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spans="1:28" ht="13">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spans="1:28" ht="13">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spans="1:28" ht="13">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spans="1:28" ht="13">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spans="1:28" ht="13">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spans="1:28" ht="13">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spans="1:28" ht="13">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spans="1:28" ht="13">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spans="1:28" ht="1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spans="1:28" ht="1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spans="1:28" ht="13">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spans="1:28" ht="13">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spans="1:28" ht="13">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spans="1:28" ht="13">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spans="1:28" ht="13">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spans="1:28" ht="1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spans="1:28" ht="13">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spans="1:28" ht="13">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spans="1:28" ht="13">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spans="1:28" ht="1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spans="1:28" ht="13">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spans="1:28" ht="13">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spans="1:28" ht="13">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spans="1:28" ht="1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spans="1:28" ht="1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spans="1:28" ht="1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spans="1:28" ht="1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spans="1:28" ht="1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spans="1:28" ht="13">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spans="1:28" ht="1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spans="1:28" ht="1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spans="1:28" ht="13">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spans="1:28" ht="13">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spans="1:28" ht="13">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spans="1:28" ht="13">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spans="1:28" ht="13">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spans="1:28" ht="13">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spans="1:28" ht="13">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spans="1:28" ht="13">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spans="1:28" ht="1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spans="1:28" ht="13">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spans="1:28" ht="13">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spans="1:28" ht="13">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spans="1:28" ht="13">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spans="1:28" ht="13">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spans="1:28" ht="13">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spans="1:28" ht="13">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spans="1:28" ht="13">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spans="1:28" ht="13">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spans="1:28" ht="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spans="1:28" ht="13">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spans="1:28" ht="13">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spans="1:28" ht="13">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spans="1:28" ht="13">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spans="1:28" ht="13">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spans="1:28" ht="1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spans="1:28" ht="13">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spans="1:28" ht="1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spans="1:28" ht="1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spans="1:28" ht="1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spans="1:28" ht="1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spans="1:28" ht="1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spans="1:28" ht="1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spans="1:28" ht="1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spans="1:28" ht="1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spans="1:28" ht="1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spans="1:28" ht="1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spans="1:28" ht="1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spans="1:28" ht="1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spans="1:28" ht="1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spans="1:28" ht="1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spans="1:28" ht="1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spans="1:28" ht="1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spans="1:28" ht="1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spans="1:28" ht="1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spans="1:28" ht="1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spans="1:28" ht="1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spans="1:28" ht="1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spans="1:28" ht="1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spans="1:28" ht="1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spans="1:28" ht="1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spans="1:28" ht="1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spans="1:28" ht="1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spans="1:28" ht="1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spans="1:28" ht="1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spans="1:28" ht="1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spans="1:28" ht="1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spans="1:28" ht="1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spans="1:28" ht="1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spans="1:28" ht="1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spans="1:28" ht="1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spans="1:28" ht="1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spans="1:28" ht="1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spans="1:28" ht="1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spans="1:28" ht="1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spans="1:28" ht="1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spans="1:28" ht="1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spans="1:28" ht="1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spans="1:28" ht="1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spans="1:28" ht="1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spans="1:28" ht="1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spans="1:28" ht="1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spans="1:28" ht="1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spans="1:28" ht="1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spans="1:28" ht="1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spans="1:28" ht="1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spans="1:28" ht="1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spans="1:28" ht="1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spans="1:28" ht="1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spans="1:28" ht="1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spans="1:28" ht="1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spans="1:28" ht="1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spans="1:28" ht="1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spans="1:28" ht="1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spans="1:28" ht="1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spans="1:28" ht="1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spans="1:28" ht="1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spans="1:28" ht="1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spans="1:28" ht="1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spans="1:28" ht="1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spans="1:28" ht="1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spans="1:28" ht="1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spans="1:28" ht="1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spans="1:28" ht="1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spans="1:28" ht="1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spans="1:28" ht="1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spans="1:28" ht="1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spans="1:28" ht="1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spans="1:28" ht="1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spans="1:28" ht="1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spans="1:28" ht="1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spans="1:28" ht="1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spans="1:28" ht="1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spans="1:28" ht="1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spans="1:28" ht="1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spans="1:28" ht="1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spans="1:28" ht="1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spans="1:28" ht="1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spans="1:28" ht="1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spans="1:28" ht="1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spans="1:28" ht="1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spans="1:28" ht="1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spans="1:28" ht="1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spans="1:28" ht="1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spans="1:28" ht="1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spans="1:28" ht="1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spans="1:28" ht="1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spans="1:28" ht="1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spans="1:28" ht="1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spans="1:28" ht="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spans="1:28" ht="1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spans="1:28" ht="1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spans="1:28" ht="1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spans="1:28" ht="1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spans="1:28" ht="1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spans="1:28" ht="1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spans="1:28" ht="1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spans="1:28" ht="1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spans="1:28" ht="1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spans="1:28" ht="1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spans="1:28" ht="1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spans="1:28" ht="1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spans="1:28" ht="1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spans="1:28" ht="1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spans="1:28" ht="1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spans="1:28" ht="1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spans="1:28" ht="1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spans="1:28" ht="1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spans="1:28" ht="1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spans="1:28" ht="1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spans="1:28" ht="1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spans="1:28" ht="1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spans="1:28" ht="1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spans="1:28" ht="1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spans="1:28" ht="1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spans="1:28" ht="1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spans="1:28" ht="1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spans="1:28" ht="1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spans="1:28" ht="1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spans="1:28" ht="1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spans="1:28" ht="1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spans="1:28" ht="1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spans="1:28" ht="1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spans="1:28" ht="1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spans="1:28" ht="1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spans="1:28" ht="1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spans="1:28" ht="1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spans="1:28" ht="1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spans="1:28" ht="1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spans="1:28" ht="1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spans="1:28" ht="1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spans="1:28" ht="1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spans="1:28" ht="1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spans="1:28" ht="1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spans="1:28" ht="1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spans="1:28" ht="1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spans="1:28" ht="1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spans="1:28" ht="1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spans="1:28" ht="1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spans="1:28" ht="1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spans="1:28" ht="1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spans="1:28" ht="1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spans="1:28" ht="1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spans="1:28" ht="1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spans="1:28" ht="1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spans="1:28" ht="1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spans="1:28" ht="1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spans="1:28" ht="1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spans="1:28" ht="1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spans="1:28" ht="1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spans="1:28" ht="1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spans="1:28" ht="1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spans="1:28" ht="1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spans="1:28" ht="1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spans="1:28" ht="1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spans="1:28" ht="1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spans="1:28" ht="1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spans="1:28" ht="1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spans="1:28" ht="1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spans="1:28" ht="1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spans="1:28" ht="1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spans="1:28" ht="1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spans="1:28" ht="1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spans="1:28" ht="1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spans="1:28" ht="1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spans="1:28" ht="1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spans="1:28" ht="1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spans="1:28" ht="1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spans="1:28" ht="1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spans="1:28" ht="1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spans="1:28" ht="1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spans="1:28" ht="1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spans="1:28" ht="1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spans="1:28" ht="1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spans="1:28" ht="1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spans="1:28" ht="1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spans="1:28" ht="1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spans="1:28" ht="1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spans="1:28" ht="1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spans="1:28" ht="1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spans="1:28" ht="1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spans="1:28" ht="1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spans="1:28" ht="1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spans="1:28" ht="1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spans="1:28" ht="1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spans="1:28" ht="1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spans="1:28" ht="1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spans="1:28" ht="1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spans="1:28" ht="1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spans="1:28" ht="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spans="1:28" ht="1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spans="1:28" ht="1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spans="1:28" ht="1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spans="1:28" ht="1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spans="1:28" ht="1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spans="1:28" ht="1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spans="1:28" ht="1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spans="1:28" ht="1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spans="1:28" ht="1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spans="1:28" ht="1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spans="1:28" ht="1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spans="1:28" ht="1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spans="1:28" ht="1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spans="1:28" ht="1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spans="1:28" ht="1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spans="1:28" ht="1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spans="1:28" ht="1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spans="1:28" ht="1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spans="1:28" ht="1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spans="1:28" ht="1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spans="1:28" ht="1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spans="1:28" ht="1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spans="1:28" ht="1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spans="1:28" ht="1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spans="1:28" ht="1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spans="1:28" ht="1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spans="1:28" ht="1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spans="1:28" ht="1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spans="1:28" ht="1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spans="1:28" ht="1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spans="1:28" ht="1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spans="1:28" ht="1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spans="1:28" ht="1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spans="1:28" ht="1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spans="1:28" ht="1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spans="1:28" ht="1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spans="1:28" ht="1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spans="1:28" ht="1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spans="1:28" ht="1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spans="1:28" ht="1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spans="1:28" ht="1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spans="1:28" ht="1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spans="1:28" ht="1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spans="1:28" ht="1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spans="1:28" ht="1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spans="1:28" ht="1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spans="1:28" ht="1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spans="1:28" ht="1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spans="1:28" ht="1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spans="1:28" ht="1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spans="1:28" ht="1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spans="1:28" ht="1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spans="1:28" ht="1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spans="1:28" ht="1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spans="1:28" ht="1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spans="1:28" ht="1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spans="1:28" ht="1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spans="1:28" ht="1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spans="1:28" ht="1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spans="1:28" ht="1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spans="1:28" ht="1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spans="1:28" ht="1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spans="1:28" ht="1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spans="1:28" ht="1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spans="1:28" ht="1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spans="1:28" ht="1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spans="1:28" ht="1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spans="1:28" ht="1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spans="1:28" ht="1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spans="1:28" ht="1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spans="1:28" ht="1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spans="1:28" ht="1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spans="1:28" ht="1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spans="1:28" ht="1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spans="1:28" ht="1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spans="1:28" ht="1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spans="1:28" ht="1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spans="1:28" ht="1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spans="1:28" ht="1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spans="1:28" ht="1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spans="1:28" ht="1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spans="1:28" ht="1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spans="1:28" ht="1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spans="1:28" ht="1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spans="1:28" ht="1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spans="1:28" ht="1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spans="1:28" ht="1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spans="1:28" ht="1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spans="1:28" ht="1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spans="1:28" ht="1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spans="1:28" ht="1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spans="1:28" ht="1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spans="1:28" ht="1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spans="1:28" ht="1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spans="1:28" ht="1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spans="1:28" ht="1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spans="1:28" ht="1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spans="1:28" ht="1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spans="1:28" ht="1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spans="1:28" ht="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spans="1:28" ht="1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spans="1:28" ht="1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spans="1:28" ht="1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spans="1:28" ht="1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spans="1:28" ht="1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spans="1:28" ht="1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spans="1:28" ht="1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spans="1:28" ht="1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spans="1:28" ht="1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spans="1:28" ht="1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spans="1:28" ht="1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spans="1:28" ht="1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spans="1:28" ht="1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spans="1:28" ht="1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spans="1:28" ht="1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spans="1:28" ht="1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spans="1:28" ht="1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spans="1:28" ht="1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spans="1:28" ht="1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spans="1:28" ht="1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spans="1:28" ht="1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spans="1:28" ht="1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spans="1:28" ht="1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spans="1:28" ht="1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spans="1:28" ht="1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spans="1:28" ht="1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spans="1:28" ht="1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spans="1:28" ht="1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spans="1:28" ht="1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spans="1:28" ht="1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spans="1:28" ht="1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spans="1:28" ht="1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spans="1:28" ht="1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spans="1:28" ht="1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spans="1:28" ht="1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spans="1:28" ht="1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spans="1:28" ht="1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spans="1:28" ht="1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spans="1:28" ht="1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spans="1:28" ht="1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spans="1:28" ht="1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spans="1:28" ht="1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spans="1:28" ht="1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spans="1:28" ht="1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spans="1:28" ht="1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spans="1:28" ht="1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spans="1:28" ht="1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spans="1:28" ht="1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spans="1:28" ht="1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spans="1:28" ht="1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spans="1:28" ht="1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spans="1:28" ht="1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spans="1:28" ht="1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spans="1:28" ht="1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spans="1:28" ht="1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spans="1:28" ht="1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spans="1:28" ht="1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spans="1:28" ht="1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spans="1:28" ht="1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spans="1:28" ht="1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spans="1:28" ht="1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spans="1:28" ht="1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spans="1:28" ht="1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spans="1:28" ht="1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spans="1:28" ht="1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spans="1:28" ht="1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spans="1:28" ht="1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spans="1:28" ht="1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spans="1:28" ht="1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spans="1:28" ht="1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spans="1:28" ht="1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spans="1:28" ht="1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spans="1:28" ht="1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spans="1:28" ht="1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spans="1:28" ht="1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spans="1:28" ht="1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spans="1:28" ht="1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spans="1:28" ht="1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spans="1:28" ht="1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spans="1:28" ht="1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spans="1:28" ht="1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spans="1:28" ht="1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spans="1:28" ht="1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spans="1:28" ht="1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spans="1:28" ht="1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spans="1:28" ht="1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spans="1:28" ht="1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spans="1:28" ht="1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spans="1:28" ht="1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spans="1:28" ht="1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spans="1:28" ht="1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spans="1:28" ht="1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spans="1:28" ht="1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spans="1:28" ht="1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spans="1:28" ht="1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spans="1:28" ht="1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spans="1:28" ht="1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spans="1:28" ht="1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spans="1:28" ht="1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spans="1:28" ht="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spans="1:28" ht="1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spans="1:28" ht="1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spans="1:28" ht="1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spans="1:28" ht="1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spans="1:28" ht="1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spans="1:28" ht="1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spans="1:28" ht="1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spans="1:28" ht="1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spans="1:28" ht="1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spans="1:28" ht="1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spans="1:28" ht="1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spans="1:28" ht="1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spans="1:28" ht="1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spans="1:28" ht="1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spans="1:28" ht="1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spans="1:28" ht="1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spans="1:28" ht="1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spans="1:28" ht="1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spans="1:28" ht="1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spans="1:28" ht="1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spans="1:28" ht="1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spans="1:28" ht="1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spans="1:28" ht="1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spans="1:28" ht="1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spans="1:28" ht="1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spans="1:28" ht="1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spans="1:28" ht="1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spans="1:28" ht="1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spans="1:28" ht="1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spans="1:28" ht="1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spans="1:28" ht="1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spans="1:28" ht="1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spans="1:28" ht="1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spans="1:28" ht="1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spans="1:28" ht="1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spans="1:28" ht="1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spans="1:28" ht="1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spans="1:28" ht="1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spans="1:28" ht="1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spans="1:28" ht="1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spans="1:28" ht="1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spans="1:28" ht="1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spans="1:28" ht="1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spans="1:28" ht="1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spans="1:28" ht="1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spans="1:28" ht="1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spans="1:28" ht="1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spans="1:28" ht="1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spans="1:28" ht="1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spans="1:28" ht="1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spans="1:28" ht="1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spans="1:28" ht="1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spans="1:28" ht="1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spans="1:28" ht="1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spans="1:28" ht="1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spans="1:28" ht="1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spans="1:28" ht="1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spans="1:28" ht="1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spans="1:28" ht="1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spans="1:28" ht="1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spans="1:28" ht="1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spans="1:28" ht="1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spans="1:28" ht="1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spans="1:28" ht="1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spans="1:28" ht="1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spans="1:28" ht="1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spans="1:28" ht="1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spans="1:28" ht="1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spans="1:28" ht="1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spans="1:28" ht="1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spans="1:28" ht="1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spans="1:28" ht="1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spans="1:28" ht="1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spans="1:28" ht="1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spans="1:28" ht="1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spans="1:28" ht="1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spans="1:28" ht="1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spans="1:28" ht="1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spans="1:28" ht="1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spans="1:28" ht="1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spans="1:28" ht="1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spans="1:28" ht="1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spans="1:28" ht="1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spans="1:28" ht="1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spans="1:28" ht="1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spans="1:28" ht="1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spans="1:28" ht="1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spans="1:28" ht="1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spans="1:28" ht="1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spans="1:28" ht="1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spans="1:28" ht="1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spans="1:28" ht="1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spans="1:28" ht="1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spans="1:28" ht="1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spans="1:28" ht="1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spans="1:28" ht="1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spans="1:28" ht="1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spans="1:28" ht="1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spans="1:28" ht="1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spans="1:28" ht="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spans="1:28" ht="1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spans="1:28" ht="1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spans="1:28" ht="1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spans="1:28" ht="1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spans="1:28" ht="1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spans="1:28" ht="1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spans="1:28" ht="1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spans="1:28" ht="1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spans="1:28" ht="1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spans="1:28" ht="1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spans="1:28" ht="1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spans="1:28" ht="1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spans="1:28" ht="1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spans="1:28" ht="1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spans="1:28" ht="1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spans="1:28" ht="1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spans="1:28" ht="1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spans="1:28" ht="1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spans="1:28" ht="1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spans="1:28" ht="1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spans="1:28" ht="1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spans="1:28" ht="1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spans="1:28" ht="1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spans="1:28" ht="1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spans="1:28" ht="1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spans="1:28" ht="1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spans="1:28" ht="1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spans="1:28" ht="1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spans="1:28" ht="1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spans="1:28" ht="1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spans="1:28" ht="1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spans="1:28" ht="1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spans="1:28" ht="1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spans="1:28" ht="1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spans="1:28" ht="1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spans="1:28" ht="1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spans="1:28" ht="1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spans="1:28" ht="1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spans="1:28" ht="1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spans="1:28" ht="1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spans="1:28" ht="1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spans="1:28" ht="1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spans="1:28" ht="1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spans="1:28" ht="1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spans="1:28" ht="1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spans="1:28" ht="1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spans="1:28" ht="1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spans="1:28" ht="1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spans="1:28" ht="1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spans="1:28" ht="1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spans="1:28" ht="1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spans="1:28" ht="1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spans="1:28" ht="1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spans="1:28" ht="1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spans="1:28" ht="1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spans="1:28" ht="1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spans="1:28" ht="1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spans="1:28" ht="1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spans="1:28" ht="1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spans="1:28" ht="1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spans="1:28" ht="1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spans="1:28" ht="1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spans="1:28" ht="1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spans="1:28" ht="1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spans="1:28" ht="1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spans="1:28" ht="1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spans="1:28" ht="1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spans="1:28" ht="1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spans="1:28" ht="1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spans="1:28" ht="1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spans="1:28" ht="1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spans="1:28" ht="1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spans="1:28" ht="1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spans="1:28" ht="1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spans="1:28" ht="1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spans="1:28" ht="1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spans="1:28" ht="1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spans="1:28" ht="1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spans="1:28" ht="1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spans="1:28" ht="1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spans="1:28" ht="1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spans="1:28" ht="1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spans="1:28" ht="1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spans="1:28" ht="1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spans="1:28" ht="1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spans="1:28" ht="1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spans="1:28" ht="1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spans="1:28" ht="1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spans="1:28" ht="1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spans="1:28" ht="1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spans="1:28" ht="1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spans="1:28" ht="1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spans="1:28" ht="1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spans="1:28" ht="1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spans="1:28" ht="1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spans="1:28" ht="1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spans="1:28" ht="1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spans="1:28" ht="1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spans="1:28" ht="1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spans="1:28" ht="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spans="1:28" ht="1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spans="1:28" ht="1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spans="1:28" ht="1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spans="1:28" ht="1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spans="1:28" ht="1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spans="1:28" ht="1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spans="1:28" ht="1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spans="1:28" ht="1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spans="1:28" ht="1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spans="1:28" ht="1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spans="1:28" ht="1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spans="1:28" ht="1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spans="1:28" ht="1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spans="1:28" ht="1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spans="1:28" ht="1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spans="1:28" ht="1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spans="1:28" ht="1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spans="1:28" ht="1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spans="1:28" ht="1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spans="1:28" ht="1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spans="1:28" ht="1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spans="1:28" ht="1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spans="1:28" ht="1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spans="1:28" ht="1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spans="1:28" ht="1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spans="1:28" ht="1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spans="1:28" ht="1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spans="1:28" ht="1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spans="1:28" ht="1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spans="1:28" ht="1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spans="1:28" ht="1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spans="1:28" ht="1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spans="1:28" ht="1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spans="1:28" ht="1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spans="1:28" ht="1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spans="1:28" ht="1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spans="1:28" ht="1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spans="1:28" ht="1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spans="1:28" ht="1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spans="1:28" ht="1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spans="1:28" ht="1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spans="1:28" ht="1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spans="1:28" ht="1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spans="1:28" ht="1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spans="1:28" ht="1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spans="1:28" ht="1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spans="1:28" ht="1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spans="1:28" ht="1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spans="1:28" ht="1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spans="1:28" ht="1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spans="1:28" ht="1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spans="1:28" ht="1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spans="1:28" ht="1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spans="1:28" ht="1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spans="1:28" ht="1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spans="1:28" ht="1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spans="1:28" ht="1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spans="1:28" ht="1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spans="1:28" ht="1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spans="1:28" ht="1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spans="1:28" ht="1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spans="1:28" ht="1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spans="1:28" ht="1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spans="1:28" ht="1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spans="1:28" ht="1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spans="1:28" ht="1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spans="1:28" ht="1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spans="1:28" ht="1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spans="1:28" ht="1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spans="1:28" ht="1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spans="1:28" ht="1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spans="1:28" ht="1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spans="1:28" ht="1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spans="1:28" ht="1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spans="1:28" ht="1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spans="1:28" ht="1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spans="1:28" ht="1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spans="1:28" ht="1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spans="1:28" ht="1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spans="1:28" ht="1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spans="1:28" ht="1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spans="1:28" ht="1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spans="1:28" ht="1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spans="1:28" ht="1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spans="1:28" ht="1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spans="1:28" ht="1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spans="1:28" ht="1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spans="1:28" ht="1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spans="1:28" ht="1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spans="1:28" ht="1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spans="1:28" ht="1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spans="1:28" ht="1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spans="1:28" ht="1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spans="1:28" ht="1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spans="1:28" ht="1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spans="1:28" ht="1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spans="1:28" ht="1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spans="1:28" ht="1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spans="1:28" ht="1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spans="1:28" ht="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spans="1:28" ht="1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spans="1:28" ht="1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spans="1:28" ht="1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spans="1:28" ht="1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spans="1:28" ht="1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spans="1:28" ht="1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spans="1:28" ht="1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spans="1:28" ht="1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spans="1:28" ht="1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spans="1:28" ht="1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spans="1:28" ht="1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spans="1:28" ht="1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spans="1:28" ht="1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spans="1:28" ht="1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spans="1:28" ht="1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spans="1:28" ht="1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spans="1:28" ht="1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spans="1:28" ht="1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spans="1:28" ht="1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spans="1:28" ht="1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spans="1:28" ht="1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spans="1:28" ht="1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spans="1:28" ht="1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spans="1:28" ht="1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spans="1:28" ht="1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spans="1:28" ht="1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spans="1:28" ht="1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spans="1:28" ht="1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spans="1:28" ht="1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spans="1:28" ht="1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spans="1:28" ht="1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spans="1:28" ht="1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spans="1:28" ht="1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spans="1:28" ht="1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spans="1:28" ht="1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spans="1:28" ht="1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spans="1:28" ht="1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spans="1:28" ht="1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spans="1:28" ht="1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spans="1:28" ht="1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spans="1:28" ht="1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spans="1:28" ht="1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spans="1:28" ht="1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spans="1:28" ht="1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spans="1:28" ht="1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spans="1:28" ht="1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spans="1:28" ht="1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spans="1:28" ht="1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spans="1:28" ht="1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spans="1:28" ht="1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spans="1:28" ht="1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spans="1:28" ht="1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spans="1:28" ht="1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spans="1:28" ht="1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spans="1:28" ht="1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spans="1:28" ht="1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spans="1:28" ht="1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spans="1:28" ht="1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spans="1:28" ht="1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spans="1:28" ht="1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spans="1:28" ht="1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spans="1:28" ht="1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spans="1:28" ht="1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spans="1:28" ht="1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spans="1:28" ht="1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spans="1:28" ht="1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spans="1:28" ht="1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spans="1:28" ht="1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spans="1:28" ht="1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spans="1:28" ht="1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spans="1:28" ht="1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spans="1:28" ht="1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spans="1:28" ht="1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spans="1:28" ht="1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spans="1:28" ht="1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spans="1:28" ht="1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spans="1:28" ht="1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spans="1:28" ht="1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spans="1:28" ht="1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spans="1:28" ht="1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spans="1:28" ht="1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spans="1:28" ht="1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spans="1:28" ht="1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spans="1:28" ht="1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spans="1:28" ht="1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sheetData>
  <pageMargins left="0.7" right="0.7" top="0.78740157499999996" bottom="0.78740157499999996" header="0.3" footer="0.3"/>
  <pageSetup paperSize="9" orientation="portrait" horizontalDpi="300" verticalDpi="20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DD2BC-B961-41DF-A700-1A34506C3AFF}">
  <dimension ref="A1:J40"/>
  <sheetViews>
    <sheetView workbookViewId="0">
      <selection activeCell="F39" sqref="F39"/>
    </sheetView>
    <sheetView workbookViewId="1"/>
  </sheetViews>
  <sheetFormatPr baseColWidth="10" defaultRowHeight="14.5"/>
  <cols>
    <col min="1" max="1" width="7.26953125" customWidth="1"/>
    <col min="2" max="2" width="22.54296875" bestFit="1" customWidth="1"/>
    <col min="3" max="3" width="4.54296875" bestFit="1" customWidth="1"/>
    <col min="4" max="4" width="18.54296875" customWidth="1"/>
    <col min="6" max="6" width="5.26953125" bestFit="1" customWidth="1"/>
    <col min="7" max="7" width="8.453125" bestFit="1" customWidth="1"/>
    <col min="8" max="8" width="5.453125" bestFit="1" customWidth="1"/>
    <col min="9" max="9" width="14.26953125" bestFit="1" customWidth="1"/>
  </cols>
  <sheetData>
    <row r="1" spans="1:10">
      <c r="A1" s="12"/>
      <c r="B1" s="12"/>
      <c r="C1" s="12"/>
      <c r="D1" s="12"/>
      <c r="E1" s="12" t="s">
        <v>70</v>
      </c>
      <c r="F1" s="12"/>
      <c r="G1" s="12"/>
      <c r="H1" s="12"/>
      <c r="I1" s="12"/>
      <c r="J1" s="12"/>
    </row>
    <row r="2" spans="1:10">
      <c r="A2" s="12" t="s">
        <v>13</v>
      </c>
      <c r="B2" s="12" t="s">
        <v>43</v>
      </c>
      <c r="C2" s="12"/>
      <c r="D2" s="12" t="s">
        <v>44</v>
      </c>
      <c r="E2" s="12" t="s">
        <v>14</v>
      </c>
      <c r="F2" s="12" t="s">
        <v>15</v>
      </c>
      <c r="G2" s="12" t="s">
        <v>16</v>
      </c>
      <c r="H2" s="12" t="s">
        <v>17</v>
      </c>
      <c r="I2" s="12" t="s">
        <v>18</v>
      </c>
      <c r="J2" s="12"/>
    </row>
    <row r="3" spans="1:10">
      <c r="A3" t="s">
        <v>19</v>
      </c>
      <c r="B3" t="s">
        <v>33</v>
      </c>
      <c r="C3" t="s">
        <v>31</v>
      </c>
      <c r="D3" t="s">
        <v>30</v>
      </c>
      <c r="E3">
        <v>5</v>
      </c>
      <c r="F3">
        <v>4</v>
      </c>
      <c r="G3">
        <v>6</v>
      </c>
      <c r="H3">
        <v>8</v>
      </c>
      <c r="I3">
        <v>0</v>
      </c>
    </row>
    <row r="4" spans="1:10">
      <c r="A4" t="s">
        <v>20</v>
      </c>
      <c r="B4" t="s">
        <v>34</v>
      </c>
      <c r="C4" t="s">
        <v>31</v>
      </c>
      <c r="D4" t="s">
        <v>30</v>
      </c>
      <c r="E4">
        <v>8</v>
      </c>
      <c r="F4">
        <v>5</v>
      </c>
      <c r="G4">
        <v>15</v>
      </c>
      <c r="H4">
        <v>9</v>
      </c>
      <c r="I4">
        <v>6</v>
      </c>
    </row>
    <row r="5" spans="1:10">
      <c r="A5" t="s">
        <v>21</v>
      </c>
      <c r="B5" t="s">
        <v>35</v>
      </c>
      <c r="C5" t="s">
        <v>31</v>
      </c>
      <c r="D5" t="s">
        <v>30</v>
      </c>
      <c r="E5">
        <v>5</v>
      </c>
      <c r="F5">
        <v>4</v>
      </c>
      <c r="G5">
        <v>17</v>
      </c>
      <c r="H5">
        <v>1</v>
      </c>
      <c r="I5">
        <v>3</v>
      </c>
    </row>
    <row r="6" spans="1:10">
      <c r="A6" t="s">
        <v>22</v>
      </c>
      <c r="B6" t="s">
        <v>36</v>
      </c>
      <c r="C6" t="s">
        <v>31</v>
      </c>
      <c r="D6" t="s">
        <v>30</v>
      </c>
      <c r="E6">
        <v>4</v>
      </c>
      <c r="F6">
        <v>3</v>
      </c>
      <c r="G6">
        <v>5</v>
      </c>
      <c r="H6">
        <v>6</v>
      </c>
      <c r="I6">
        <v>1</v>
      </c>
    </row>
    <row r="7" spans="1:10">
      <c r="A7" t="s">
        <v>23</v>
      </c>
      <c r="B7" t="s">
        <v>37</v>
      </c>
      <c r="C7" t="s">
        <v>31</v>
      </c>
      <c r="D7" t="s">
        <v>30</v>
      </c>
      <c r="E7">
        <v>2</v>
      </c>
      <c r="F7">
        <v>1</v>
      </c>
      <c r="G7">
        <v>16</v>
      </c>
      <c r="H7">
        <v>3</v>
      </c>
      <c r="I7">
        <v>1</v>
      </c>
    </row>
    <row r="8" spans="1:10">
      <c r="A8" t="s">
        <v>24</v>
      </c>
      <c r="B8" t="s">
        <v>32</v>
      </c>
      <c r="C8" t="s">
        <v>31</v>
      </c>
      <c r="D8" t="s">
        <v>30</v>
      </c>
      <c r="E8">
        <v>1</v>
      </c>
      <c r="F8">
        <v>3</v>
      </c>
      <c r="G8">
        <v>12</v>
      </c>
      <c r="H8">
        <v>7</v>
      </c>
      <c r="I8">
        <v>2</v>
      </c>
    </row>
    <row r="9" spans="1:10">
      <c r="A9" t="s">
        <v>25</v>
      </c>
      <c r="B9" t="s">
        <v>33</v>
      </c>
      <c r="C9" t="s">
        <v>31</v>
      </c>
      <c r="D9" t="s">
        <v>38</v>
      </c>
      <c r="E9">
        <v>5</v>
      </c>
      <c r="F9">
        <v>3</v>
      </c>
      <c r="G9">
        <v>31</v>
      </c>
      <c r="H9">
        <v>2</v>
      </c>
      <c r="I9">
        <v>2</v>
      </c>
    </row>
    <row r="10" spans="1:10">
      <c r="A10" t="s">
        <v>26</v>
      </c>
      <c r="B10" t="s">
        <v>34</v>
      </c>
      <c r="C10" t="s">
        <v>31</v>
      </c>
      <c r="D10" t="s">
        <v>38</v>
      </c>
      <c r="E10">
        <v>10</v>
      </c>
      <c r="F10">
        <v>9</v>
      </c>
      <c r="G10">
        <v>65</v>
      </c>
      <c r="H10">
        <v>4</v>
      </c>
      <c r="I10">
        <v>4</v>
      </c>
    </row>
    <row r="11" spans="1:10">
      <c r="A11" t="s">
        <v>27</v>
      </c>
      <c r="B11" t="s">
        <v>35</v>
      </c>
      <c r="C11" t="s">
        <v>31</v>
      </c>
      <c r="D11" t="s">
        <v>38</v>
      </c>
      <c r="E11">
        <v>6</v>
      </c>
      <c r="F11">
        <v>2</v>
      </c>
      <c r="G11">
        <v>56</v>
      </c>
      <c r="H11">
        <v>1</v>
      </c>
      <c r="I11">
        <v>1</v>
      </c>
    </row>
    <row r="12" spans="1:10">
      <c r="A12" t="s">
        <v>28</v>
      </c>
      <c r="B12" t="s">
        <v>36</v>
      </c>
      <c r="C12" t="s">
        <v>31</v>
      </c>
      <c r="D12" t="s">
        <v>38</v>
      </c>
      <c r="E12">
        <v>8</v>
      </c>
      <c r="F12">
        <v>3</v>
      </c>
      <c r="G12">
        <v>45</v>
      </c>
      <c r="H12">
        <v>0</v>
      </c>
      <c r="I12">
        <v>2</v>
      </c>
    </row>
    <row r="13" spans="1:10">
      <c r="A13" t="s">
        <v>29</v>
      </c>
      <c r="B13" t="s">
        <v>37</v>
      </c>
      <c r="C13" t="s">
        <v>31</v>
      </c>
      <c r="D13" t="s">
        <v>38</v>
      </c>
      <c r="E13">
        <v>1</v>
      </c>
      <c r="F13">
        <v>1</v>
      </c>
      <c r="G13">
        <v>55</v>
      </c>
      <c r="H13">
        <v>0</v>
      </c>
      <c r="I13">
        <v>1</v>
      </c>
    </row>
    <row r="14" spans="1:10">
      <c r="A14" t="s">
        <v>45</v>
      </c>
      <c r="B14" t="s">
        <v>32</v>
      </c>
      <c r="C14" t="s">
        <v>31</v>
      </c>
      <c r="D14" t="s">
        <v>38</v>
      </c>
      <c r="E14">
        <v>2</v>
      </c>
      <c r="F14">
        <v>2</v>
      </c>
      <c r="G14">
        <v>28</v>
      </c>
      <c r="H14">
        <v>2</v>
      </c>
      <c r="I14">
        <v>1</v>
      </c>
    </row>
    <row r="15" spans="1:10">
      <c r="A15" t="s">
        <v>46</v>
      </c>
      <c r="B15" t="s">
        <v>33</v>
      </c>
      <c r="C15" t="s">
        <v>31</v>
      </c>
      <c r="D15" t="s">
        <v>39</v>
      </c>
      <c r="E15">
        <v>9</v>
      </c>
      <c r="F15">
        <v>3</v>
      </c>
      <c r="G15">
        <v>12</v>
      </c>
      <c r="H15">
        <v>2</v>
      </c>
      <c r="I15">
        <v>1</v>
      </c>
    </row>
    <row r="16" spans="1:10">
      <c r="A16" t="s">
        <v>47</v>
      </c>
      <c r="B16" t="s">
        <v>34</v>
      </c>
      <c r="C16" t="s">
        <v>31</v>
      </c>
      <c r="D16" t="s">
        <v>39</v>
      </c>
      <c r="E16">
        <v>13</v>
      </c>
      <c r="F16">
        <v>3</v>
      </c>
      <c r="G16">
        <v>8</v>
      </c>
      <c r="H16">
        <v>2</v>
      </c>
      <c r="I16">
        <v>1</v>
      </c>
    </row>
    <row r="17" spans="1:9">
      <c r="A17" t="s">
        <v>48</v>
      </c>
      <c r="B17" t="s">
        <v>35</v>
      </c>
      <c r="C17" t="s">
        <v>31</v>
      </c>
      <c r="D17" t="s">
        <v>39</v>
      </c>
      <c r="E17">
        <v>9</v>
      </c>
      <c r="F17">
        <v>4</v>
      </c>
      <c r="G17">
        <v>13</v>
      </c>
      <c r="H17">
        <v>1</v>
      </c>
      <c r="I17">
        <v>0</v>
      </c>
    </row>
    <row r="18" spans="1:9">
      <c r="A18" t="s">
        <v>49</v>
      </c>
      <c r="B18" t="s">
        <v>36</v>
      </c>
      <c r="C18" t="s">
        <v>31</v>
      </c>
      <c r="D18" t="s">
        <v>39</v>
      </c>
      <c r="E18">
        <v>7</v>
      </c>
      <c r="F18">
        <v>10</v>
      </c>
      <c r="G18">
        <v>11</v>
      </c>
      <c r="H18">
        <v>1</v>
      </c>
      <c r="I18">
        <v>2</v>
      </c>
    </row>
    <row r="19" spans="1:9">
      <c r="A19" t="s">
        <v>50</v>
      </c>
      <c r="B19" t="s">
        <v>37</v>
      </c>
      <c r="C19" t="s">
        <v>31</v>
      </c>
      <c r="D19" t="s">
        <v>39</v>
      </c>
      <c r="E19">
        <v>0</v>
      </c>
      <c r="F19">
        <v>1</v>
      </c>
      <c r="G19">
        <v>12</v>
      </c>
      <c r="H19">
        <v>0</v>
      </c>
      <c r="I19">
        <v>0</v>
      </c>
    </row>
    <row r="20" spans="1:9">
      <c r="A20" t="s">
        <v>51</v>
      </c>
      <c r="B20" t="s">
        <v>32</v>
      </c>
      <c r="C20" t="s">
        <v>31</v>
      </c>
      <c r="D20" t="s">
        <v>39</v>
      </c>
      <c r="E20">
        <v>0</v>
      </c>
      <c r="F20">
        <v>0</v>
      </c>
      <c r="G20">
        <v>3</v>
      </c>
      <c r="H20">
        <v>2</v>
      </c>
      <c r="I20">
        <v>0</v>
      </c>
    </row>
    <row r="21" spans="1:9">
      <c r="A21" t="s">
        <v>52</v>
      </c>
      <c r="B21" t="s">
        <v>33</v>
      </c>
      <c r="C21" t="s">
        <v>31</v>
      </c>
      <c r="D21" t="s">
        <v>40</v>
      </c>
      <c r="E21">
        <v>13</v>
      </c>
      <c r="F21">
        <v>7</v>
      </c>
      <c r="G21">
        <v>8</v>
      </c>
      <c r="H21">
        <v>3</v>
      </c>
      <c r="I21">
        <v>2</v>
      </c>
    </row>
    <row r="22" spans="1:9">
      <c r="A22" t="s">
        <v>53</v>
      </c>
      <c r="B22" t="s">
        <v>34</v>
      </c>
      <c r="C22" t="s">
        <v>31</v>
      </c>
      <c r="D22" t="s">
        <v>40</v>
      </c>
      <c r="E22">
        <v>18</v>
      </c>
      <c r="F22">
        <v>7</v>
      </c>
      <c r="G22">
        <v>18</v>
      </c>
      <c r="H22">
        <v>10</v>
      </c>
      <c r="I22">
        <v>8</v>
      </c>
    </row>
    <row r="23" spans="1:9">
      <c r="A23" t="s">
        <v>54</v>
      </c>
      <c r="B23" t="s">
        <v>35</v>
      </c>
      <c r="C23" t="s">
        <v>31</v>
      </c>
      <c r="D23" t="s">
        <v>40</v>
      </c>
      <c r="E23">
        <v>23</v>
      </c>
      <c r="F23">
        <v>18</v>
      </c>
      <c r="G23">
        <v>13</v>
      </c>
      <c r="H23">
        <v>1</v>
      </c>
      <c r="I23">
        <v>3</v>
      </c>
    </row>
    <row r="24" spans="1:9">
      <c r="A24" t="s">
        <v>55</v>
      </c>
      <c r="B24" t="s">
        <v>36</v>
      </c>
      <c r="C24" t="s">
        <v>31</v>
      </c>
      <c r="D24" t="s">
        <v>40</v>
      </c>
      <c r="E24">
        <v>19</v>
      </c>
      <c r="F24">
        <v>20</v>
      </c>
      <c r="G24">
        <v>8</v>
      </c>
      <c r="H24">
        <v>7</v>
      </c>
      <c r="I24">
        <v>6</v>
      </c>
    </row>
    <row r="25" spans="1:9">
      <c r="A25" t="s">
        <v>56</v>
      </c>
      <c r="B25" t="s">
        <v>37</v>
      </c>
      <c r="C25" t="s">
        <v>31</v>
      </c>
      <c r="D25" t="s">
        <v>40</v>
      </c>
      <c r="E25">
        <v>7</v>
      </c>
      <c r="F25">
        <v>0</v>
      </c>
      <c r="G25">
        <v>27</v>
      </c>
      <c r="H25">
        <v>0</v>
      </c>
      <c r="I25">
        <v>6</v>
      </c>
    </row>
    <row r="26" spans="1:9">
      <c r="A26" t="s">
        <v>57</v>
      </c>
      <c r="B26" t="s">
        <v>32</v>
      </c>
      <c r="C26" t="s">
        <v>31</v>
      </c>
      <c r="D26" t="s">
        <v>40</v>
      </c>
      <c r="E26">
        <v>1</v>
      </c>
      <c r="F26">
        <v>4</v>
      </c>
      <c r="G26">
        <v>7</v>
      </c>
      <c r="H26">
        <v>3</v>
      </c>
      <c r="I26">
        <v>3</v>
      </c>
    </row>
    <row r="27" spans="1:9">
      <c r="A27" t="s">
        <v>58</v>
      </c>
      <c r="B27" t="s">
        <v>33</v>
      </c>
      <c r="C27" t="s">
        <v>31</v>
      </c>
      <c r="D27" t="s">
        <v>41</v>
      </c>
      <c r="E27">
        <v>4</v>
      </c>
      <c r="F27">
        <v>0</v>
      </c>
      <c r="G27">
        <v>0</v>
      </c>
      <c r="H27">
        <v>1</v>
      </c>
      <c r="I27">
        <v>1</v>
      </c>
    </row>
    <row r="28" spans="1:9">
      <c r="A28" t="s">
        <v>59</v>
      </c>
      <c r="B28" t="s">
        <v>34</v>
      </c>
      <c r="C28" t="s">
        <v>31</v>
      </c>
      <c r="D28" t="s">
        <v>41</v>
      </c>
      <c r="E28">
        <v>1</v>
      </c>
      <c r="F28">
        <v>0</v>
      </c>
      <c r="G28">
        <v>2</v>
      </c>
      <c r="H28">
        <v>0</v>
      </c>
      <c r="I28">
        <v>0</v>
      </c>
    </row>
    <row r="29" spans="1:9">
      <c r="A29" t="s">
        <v>60</v>
      </c>
      <c r="B29" t="s">
        <v>35</v>
      </c>
      <c r="C29" t="s">
        <v>31</v>
      </c>
      <c r="D29" t="s">
        <v>41</v>
      </c>
      <c r="E29">
        <v>8</v>
      </c>
      <c r="F29">
        <v>6</v>
      </c>
      <c r="G29">
        <v>4</v>
      </c>
      <c r="H29">
        <v>2</v>
      </c>
      <c r="I29">
        <v>5</v>
      </c>
    </row>
    <row r="30" spans="1:9">
      <c r="A30" t="s">
        <v>61</v>
      </c>
      <c r="B30" t="s">
        <v>36</v>
      </c>
      <c r="C30" t="s">
        <v>31</v>
      </c>
      <c r="D30" t="s">
        <v>41</v>
      </c>
      <c r="E30">
        <v>10</v>
      </c>
      <c r="F30">
        <v>6</v>
      </c>
      <c r="G30">
        <v>2</v>
      </c>
      <c r="H30">
        <v>2</v>
      </c>
      <c r="I30">
        <v>3</v>
      </c>
    </row>
    <row r="31" spans="1:9">
      <c r="A31" t="s">
        <v>62</v>
      </c>
      <c r="B31" t="s">
        <v>37</v>
      </c>
      <c r="C31" t="s">
        <v>31</v>
      </c>
      <c r="D31" t="s">
        <v>41</v>
      </c>
      <c r="E31">
        <v>1</v>
      </c>
      <c r="F31">
        <v>0</v>
      </c>
      <c r="G31">
        <v>6</v>
      </c>
      <c r="H31">
        <v>0</v>
      </c>
      <c r="I31">
        <v>4</v>
      </c>
    </row>
    <row r="32" spans="1:9">
      <c r="A32" t="s">
        <v>63</v>
      </c>
      <c r="B32" t="s">
        <v>32</v>
      </c>
      <c r="C32" t="s">
        <v>31</v>
      </c>
      <c r="D32" t="s">
        <v>41</v>
      </c>
      <c r="E32">
        <v>1</v>
      </c>
      <c r="F32">
        <v>0</v>
      </c>
      <c r="G32">
        <v>1</v>
      </c>
      <c r="H32">
        <v>5</v>
      </c>
      <c r="I32">
        <v>1</v>
      </c>
    </row>
    <row r="33" spans="1:9">
      <c r="A33" t="s">
        <v>64</v>
      </c>
      <c r="B33" t="s">
        <v>33</v>
      </c>
      <c r="C33" t="s">
        <v>31</v>
      </c>
      <c r="D33" t="s">
        <v>42</v>
      </c>
      <c r="E33">
        <v>6</v>
      </c>
      <c r="F33">
        <v>5</v>
      </c>
      <c r="G33">
        <v>34</v>
      </c>
      <c r="H33">
        <v>3</v>
      </c>
      <c r="I33">
        <v>2</v>
      </c>
    </row>
    <row r="34" spans="1:9">
      <c r="A34" t="s">
        <v>65</v>
      </c>
      <c r="B34" t="s">
        <v>34</v>
      </c>
      <c r="C34" t="s">
        <v>31</v>
      </c>
      <c r="D34" t="s">
        <v>42</v>
      </c>
      <c r="E34">
        <v>16</v>
      </c>
      <c r="F34">
        <v>11</v>
      </c>
      <c r="G34">
        <v>75</v>
      </c>
      <c r="H34">
        <v>7</v>
      </c>
      <c r="I34">
        <v>9</v>
      </c>
    </row>
    <row r="35" spans="1:9">
      <c r="A35" t="s">
        <v>66</v>
      </c>
      <c r="B35" t="s">
        <v>35</v>
      </c>
      <c r="C35" t="s">
        <v>31</v>
      </c>
      <c r="D35" t="s">
        <v>42</v>
      </c>
      <c r="E35">
        <v>12</v>
      </c>
      <c r="F35">
        <v>3</v>
      </c>
      <c r="G35">
        <v>59</v>
      </c>
      <c r="H35">
        <v>2</v>
      </c>
      <c r="I35">
        <v>5</v>
      </c>
    </row>
    <row r="36" spans="1:9">
      <c r="A36" t="s">
        <v>67</v>
      </c>
      <c r="B36" t="s">
        <v>36</v>
      </c>
      <c r="C36" t="s">
        <v>31</v>
      </c>
      <c r="D36" t="s">
        <v>42</v>
      </c>
      <c r="E36">
        <v>12</v>
      </c>
      <c r="F36">
        <v>4</v>
      </c>
      <c r="G36">
        <v>63</v>
      </c>
      <c r="H36">
        <v>2</v>
      </c>
      <c r="I36">
        <v>3</v>
      </c>
    </row>
    <row r="37" spans="1:9">
      <c r="A37" t="s">
        <v>68</v>
      </c>
      <c r="B37" t="s">
        <v>37</v>
      </c>
      <c r="C37" t="s">
        <v>31</v>
      </c>
      <c r="D37" t="s">
        <v>42</v>
      </c>
      <c r="E37">
        <v>2</v>
      </c>
      <c r="F37">
        <v>1</v>
      </c>
      <c r="G37">
        <v>59</v>
      </c>
      <c r="H37">
        <v>0</v>
      </c>
      <c r="I37">
        <v>2</v>
      </c>
    </row>
    <row r="38" spans="1:9">
      <c r="A38" t="s">
        <v>69</v>
      </c>
      <c r="B38" t="s">
        <v>32</v>
      </c>
      <c r="C38" t="s">
        <v>31</v>
      </c>
      <c r="D38" t="s">
        <v>42</v>
      </c>
      <c r="E38">
        <v>3</v>
      </c>
      <c r="F38">
        <v>2</v>
      </c>
      <c r="G38">
        <v>31</v>
      </c>
      <c r="H38">
        <v>3</v>
      </c>
      <c r="I38">
        <v>1</v>
      </c>
    </row>
    <row r="39" spans="1:9">
      <c r="D39" s="12"/>
      <c r="E39" s="12">
        <f>SUM(E3:E38)</f>
        <v>252</v>
      </c>
      <c r="F39" s="12">
        <f t="shared" ref="F39:G39" si="0">SUM(F3:F38)</f>
        <v>155</v>
      </c>
      <c r="G39" s="12">
        <f t="shared" si="0"/>
        <v>827</v>
      </c>
      <c r="H39" s="12">
        <f>SUM(H3:H38)</f>
        <v>102</v>
      </c>
      <c r="I39" s="12">
        <f t="shared" ref="I39" si="1">SUM(I3:I38)</f>
        <v>92</v>
      </c>
    </row>
    <row r="40" spans="1:9">
      <c r="D40" s="12" t="s">
        <v>71</v>
      </c>
      <c r="E40" s="12">
        <v>137</v>
      </c>
      <c r="F40" s="12">
        <v>83</v>
      </c>
      <c r="G40" s="12">
        <v>408</v>
      </c>
      <c r="H40" s="12">
        <v>81</v>
      </c>
      <c r="I40" s="12">
        <v>74</v>
      </c>
    </row>
  </sheetData>
  <phoneticPr fontId="13" type="noConversion"/>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4FFE8-AC03-4AE8-8DFB-B3AD64B0ABF0}">
  <dimension ref="A1:Z712"/>
  <sheetViews>
    <sheetView workbookViewId="0">
      <selection activeCell="Z1" sqref="Z1:Z1048576"/>
    </sheetView>
    <sheetView workbookViewId="1"/>
  </sheetViews>
  <sheetFormatPr baseColWidth="10" defaultRowHeight="14.5"/>
  <cols>
    <col min="1" max="1" width="12.54296875" bestFit="1" customWidth="1"/>
    <col min="2" max="2" width="16.26953125" bestFit="1" customWidth="1"/>
    <col min="3" max="3" width="17.7265625" bestFit="1" customWidth="1"/>
    <col min="4" max="6" width="81.1796875" bestFit="1" customWidth="1"/>
    <col min="7" max="7" width="34.26953125" bestFit="1" customWidth="1"/>
    <col min="8" max="8" width="20" bestFit="1" customWidth="1"/>
    <col min="9" max="9" width="53.26953125" bestFit="1" customWidth="1"/>
    <col min="10" max="10" width="81.1796875" bestFit="1" customWidth="1"/>
    <col min="11" max="11" width="10.54296875" bestFit="1" customWidth="1"/>
    <col min="12" max="12" width="15.7265625" bestFit="1" customWidth="1"/>
    <col min="13" max="13" width="16.1796875" bestFit="1" customWidth="1"/>
    <col min="14" max="14" width="15.7265625" bestFit="1" customWidth="1"/>
    <col min="15" max="15" width="14.1796875" bestFit="1" customWidth="1"/>
    <col min="16" max="16" width="7.81640625" bestFit="1" customWidth="1"/>
    <col min="17" max="17" width="14.81640625" bestFit="1" customWidth="1"/>
    <col min="18" max="18" width="31.7265625" bestFit="1" customWidth="1"/>
    <col min="19" max="19" width="81.1796875" bestFit="1" customWidth="1"/>
    <col min="20" max="20" width="67.7265625" bestFit="1" customWidth="1"/>
    <col min="21" max="21" width="17.54296875" bestFit="1" customWidth="1"/>
    <col min="22" max="22" width="11.54296875" bestFit="1" customWidth="1"/>
    <col min="23" max="23" width="17" bestFit="1" customWidth="1"/>
    <col min="24" max="24" width="14.26953125" bestFit="1" customWidth="1"/>
    <col min="25" max="25" width="16.7265625" bestFit="1" customWidth="1"/>
    <col min="26" max="26" width="81.1796875" bestFit="1" customWidth="1"/>
  </cols>
  <sheetData>
    <row r="1" spans="1:26">
      <c r="A1" t="s">
        <v>72</v>
      </c>
      <c r="B1" t="s">
        <v>73</v>
      </c>
      <c r="C1" t="s">
        <v>74</v>
      </c>
      <c r="D1" t="s">
        <v>75</v>
      </c>
      <c r="E1" t="s">
        <v>76</v>
      </c>
      <c r="F1" t="s">
        <v>77</v>
      </c>
      <c r="G1" t="s">
        <v>78</v>
      </c>
      <c r="H1" t="s">
        <v>79</v>
      </c>
      <c r="I1" t="s">
        <v>80</v>
      </c>
      <c r="J1" t="s">
        <v>81</v>
      </c>
      <c r="K1" t="s">
        <v>83</v>
      </c>
      <c r="L1" t="s">
        <v>84</v>
      </c>
      <c r="M1" t="s">
        <v>85</v>
      </c>
      <c r="N1" t="s">
        <v>86</v>
      </c>
      <c r="O1" t="s">
        <v>87</v>
      </c>
      <c r="P1" t="s">
        <v>2</v>
      </c>
      <c r="Q1" t="s">
        <v>89</v>
      </c>
      <c r="R1" t="s">
        <v>4486</v>
      </c>
      <c r="S1" t="s">
        <v>4487</v>
      </c>
      <c r="T1" t="s">
        <v>91</v>
      </c>
      <c r="U1" t="s">
        <v>92</v>
      </c>
      <c r="V1" t="s">
        <v>4488</v>
      </c>
      <c r="W1" t="s">
        <v>4489</v>
      </c>
      <c r="X1" t="s">
        <v>93</v>
      </c>
      <c r="Y1" t="s">
        <v>4490</v>
      </c>
      <c r="Z1" t="s">
        <v>4491</v>
      </c>
    </row>
    <row r="2" spans="1:26">
      <c r="A2" t="s">
        <v>4492</v>
      </c>
      <c r="B2" t="s">
        <v>135</v>
      </c>
      <c r="C2">
        <v>2018</v>
      </c>
      <c r="D2" t="s">
        <v>2936</v>
      </c>
      <c r="E2" t="s">
        <v>2937</v>
      </c>
      <c r="F2" t="s">
        <v>2938</v>
      </c>
      <c r="G2" t="s">
        <v>99</v>
      </c>
      <c r="H2" t="s">
        <v>2939</v>
      </c>
      <c r="I2" t="s">
        <v>2940</v>
      </c>
      <c r="J2" t="s">
        <v>2941</v>
      </c>
      <c r="K2" t="s">
        <v>2568</v>
      </c>
      <c r="L2" s="13">
        <v>44887.363807870373</v>
      </c>
      <c r="M2" s="13">
        <v>44887.363807870373</v>
      </c>
      <c r="N2" s="13">
        <v>44886.598287037035</v>
      </c>
      <c r="O2" t="s">
        <v>2942</v>
      </c>
      <c r="P2" t="s">
        <v>2668</v>
      </c>
      <c r="Q2" t="s">
        <v>4493</v>
      </c>
      <c r="R2" t="s">
        <v>4494</v>
      </c>
      <c r="S2" t="s">
        <v>99</v>
      </c>
      <c r="T2" t="s">
        <v>99</v>
      </c>
      <c r="U2" t="s">
        <v>99</v>
      </c>
      <c r="V2" t="s">
        <v>4495</v>
      </c>
      <c r="W2" t="s">
        <v>4496</v>
      </c>
      <c r="X2" t="s">
        <v>99</v>
      </c>
      <c r="Y2" t="s">
        <v>99</v>
      </c>
      <c r="Z2" t="s">
        <v>99</v>
      </c>
    </row>
    <row r="3" spans="1:26">
      <c r="A3" t="s">
        <v>4497</v>
      </c>
      <c r="B3" t="s">
        <v>222</v>
      </c>
      <c r="C3">
        <v>2018</v>
      </c>
      <c r="D3" t="s">
        <v>2929</v>
      </c>
      <c r="E3" t="s">
        <v>2930</v>
      </c>
      <c r="F3" t="s">
        <v>2931</v>
      </c>
      <c r="G3" t="s">
        <v>2932</v>
      </c>
      <c r="H3" t="s">
        <v>99</v>
      </c>
      <c r="I3" t="s">
        <v>99</v>
      </c>
      <c r="J3" t="s">
        <v>2933</v>
      </c>
      <c r="K3" t="s">
        <v>384</v>
      </c>
      <c r="L3" s="13">
        <v>44887.363807870373</v>
      </c>
      <c r="M3" s="13">
        <v>44887.363807870373</v>
      </c>
      <c r="N3" s="13">
        <v>44886.598298611112</v>
      </c>
      <c r="O3" t="s">
        <v>2934</v>
      </c>
      <c r="P3" t="s">
        <v>99</v>
      </c>
      <c r="Q3" t="s">
        <v>4498</v>
      </c>
      <c r="R3" t="s">
        <v>99</v>
      </c>
      <c r="S3" t="s">
        <v>4499</v>
      </c>
      <c r="T3" t="s">
        <v>1226</v>
      </c>
      <c r="U3" t="s">
        <v>1227</v>
      </c>
      <c r="V3" t="s">
        <v>99</v>
      </c>
      <c r="W3" t="s">
        <v>4496</v>
      </c>
      <c r="X3" t="s">
        <v>2935</v>
      </c>
      <c r="Y3" t="s">
        <v>4500</v>
      </c>
      <c r="Z3" t="s">
        <v>99</v>
      </c>
    </row>
    <row r="4" spans="1:26">
      <c r="A4" t="s">
        <v>4501</v>
      </c>
      <c r="B4" t="s">
        <v>135</v>
      </c>
      <c r="C4">
        <v>2018</v>
      </c>
      <c r="D4" t="s">
        <v>2912</v>
      </c>
      <c r="E4" t="s">
        <v>2913</v>
      </c>
      <c r="F4" t="s">
        <v>2898</v>
      </c>
      <c r="G4" t="s">
        <v>99</v>
      </c>
      <c r="H4" t="s">
        <v>2899</v>
      </c>
      <c r="I4" t="s">
        <v>2914</v>
      </c>
      <c r="J4" t="s">
        <v>2915</v>
      </c>
      <c r="K4" t="s">
        <v>2072</v>
      </c>
      <c r="L4" s="13">
        <v>44887.363807870373</v>
      </c>
      <c r="M4" s="13">
        <v>44887.363807870373</v>
      </c>
      <c r="N4" s="13">
        <v>44886.598414351851</v>
      </c>
      <c r="O4" t="s">
        <v>2916</v>
      </c>
      <c r="P4" t="s">
        <v>2917</v>
      </c>
      <c r="Q4" t="s">
        <v>4502</v>
      </c>
      <c r="R4" t="s">
        <v>4503</v>
      </c>
      <c r="S4" t="s">
        <v>99</v>
      </c>
      <c r="T4" t="s">
        <v>99</v>
      </c>
      <c r="U4" t="s">
        <v>99</v>
      </c>
      <c r="V4" t="s">
        <v>4495</v>
      </c>
      <c r="W4" t="s">
        <v>4496</v>
      </c>
      <c r="X4" t="s">
        <v>99</v>
      </c>
      <c r="Y4" t="s">
        <v>99</v>
      </c>
      <c r="Z4" t="s">
        <v>99</v>
      </c>
    </row>
    <row r="5" spans="1:26">
      <c r="A5" t="s">
        <v>4504</v>
      </c>
      <c r="B5" t="s">
        <v>222</v>
      </c>
      <c r="C5">
        <v>2010</v>
      </c>
      <c r="D5" t="s">
        <v>2943</v>
      </c>
      <c r="E5" t="s">
        <v>2944</v>
      </c>
      <c r="F5" t="s">
        <v>2945</v>
      </c>
      <c r="G5" t="s">
        <v>2946</v>
      </c>
      <c r="H5" t="s">
        <v>99</v>
      </c>
      <c r="I5" t="s">
        <v>99</v>
      </c>
      <c r="J5" t="s">
        <v>2947</v>
      </c>
      <c r="K5" t="s">
        <v>130</v>
      </c>
      <c r="L5" s="13">
        <v>44887.363807870373</v>
      </c>
      <c r="M5" s="13">
        <v>44887.363807870373</v>
      </c>
      <c r="N5" s="13">
        <v>44886.59820601852</v>
      </c>
      <c r="O5" t="s">
        <v>2948</v>
      </c>
      <c r="P5" t="s">
        <v>99</v>
      </c>
      <c r="Q5" t="s">
        <v>4505</v>
      </c>
      <c r="R5" t="s">
        <v>99</v>
      </c>
      <c r="S5" t="s">
        <v>4506</v>
      </c>
      <c r="T5" t="s">
        <v>1218</v>
      </c>
      <c r="U5" t="s">
        <v>133</v>
      </c>
      <c r="V5" t="s">
        <v>99</v>
      </c>
      <c r="W5" t="s">
        <v>4496</v>
      </c>
      <c r="X5" t="s">
        <v>2949</v>
      </c>
      <c r="Y5" t="s">
        <v>4507</v>
      </c>
      <c r="Z5" t="s">
        <v>99</v>
      </c>
    </row>
    <row r="6" spans="1:26">
      <c r="A6" t="s">
        <v>4508</v>
      </c>
      <c r="B6" t="s">
        <v>135</v>
      </c>
      <c r="C6">
        <v>2019</v>
      </c>
      <c r="D6" t="s">
        <v>2923</v>
      </c>
      <c r="E6" t="s">
        <v>2924</v>
      </c>
      <c r="F6" t="s">
        <v>1312</v>
      </c>
      <c r="G6" t="s">
        <v>99</v>
      </c>
      <c r="H6" t="s">
        <v>1313</v>
      </c>
      <c r="I6" t="s">
        <v>2925</v>
      </c>
      <c r="J6" t="s">
        <v>2926</v>
      </c>
      <c r="K6" t="s">
        <v>2927</v>
      </c>
      <c r="L6" s="13">
        <v>44887.363807870373</v>
      </c>
      <c r="M6" s="13">
        <v>44887.363807870373</v>
      </c>
      <c r="N6" s="13">
        <v>44886.598321759258</v>
      </c>
      <c r="O6" t="s">
        <v>2928</v>
      </c>
      <c r="P6" t="s">
        <v>182</v>
      </c>
      <c r="Q6" t="s">
        <v>4509</v>
      </c>
      <c r="R6" t="s">
        <v>4510</v>
      </c>
      <c r="S6" t="s">
        <v>99</v>
      </c>
      <c r="T6" t="s">
        <v>99</v>
      </c>
      <c r="U6" t="s">
        <v>99</v>
      </c>
      <c r="V6" t="s">
        <v>4495</v>
      </c>
      <c r="W6" t="s">
        <v>4496</v>
      </c>
      <c r="X6" t="s">
        <v>99</v>
      </c>
      <c r="Y6" t="s">
        <v>99</v>
      </c>
      <c r="Z6" t="s">
        <v>99</v>
      </c>
    </row>
    <row r="7" spans="1:26">
      <c r="A7" t="s">
        <v>4511</v>
      </c>
      <c r="B7" t="s">
        <v>135</v>
      </c>
      <c r="C7">
        <v>2022</v>
      </c>
      <c r="D7" t="s">
        <v>2918</v>
      </c>
      <c r="E7" t="s">
        <v>2919</v>
      </c>
      <c r="F7" t="s">
        <v>1265</v>
      </c>
      <c r="G7" t="s">
        <v>99</v>
      </c>
      <c r="H7" t="s">
        <v>1266</v>
      </c>
      <c r="I7" t="s">
        <v>2920</v>
      </c>
      <c r="J7" t="s">
        <v>2921</v>
      </c>
      <c r="K7" t="s">
        <v>2193</v>
      </c>
      <c r="L7" s="13">
        <v>44887.363807870373</v>
      </c>
      <c r="M7" s="13">
        <v>44887.363807870373</v>
      </c>
      <c r="N7" s="13">
        <v>44886.598414351851</v>
      </c>
      <c r="O7" t="s">
        <v>2922</v>
      </c>
      <c r="P7" t="s">
        <v>500</v>
      </c>
      <c r="Q7" t="s">
        <v>4512</v>
      </c>
      <c r="R7" t="s">
        <v>4513</v>
      </c>
      <c r="S7" t="s">
        <v>4514</v>
      </c>
      <c r="T7" t="s">
        <v>99</v>
      </c>
      <c r="U7" t="s">
        <v>99</v>
      </c>
      <c r="V7" t="s">
        <v>4495</v>
      </c>
      <c r="W7" t="s">
        <v>4496</v>
      </c>
      <c r="X7" t="s">
        <v>99</v>
      </c>
      <c r="Y7" t="s">
        <v>99</v>
      </c>
      <c r="Z7" t="s">
        <v>99</v>
      </c>
    </row>
    <row r="8" spans="1:26">
      <c r="A8" t="s">
        <v>4515</v>
      </c>
      <c r="B8" t="s">
        <v>222</v>
      </c>
      <c r="C8">
        <v>2016</v>
      </c>
      <c r="D8" t="s">
        <v>2905</v>
      </c>
      <c r="E8" t="s">
        <v>2906</v>
      </c>
      <c r="F8" t="s">
        <v>2907</v>
      </c>
      <c r="G8" t="s">
        <v>2908</v>
      </c>
      <c r="H8" t="s">
        <v>99</v>
      </c>
      <c r="I8" t="s">
        <v>99</v>
      </c>
      <c r="J8" t="s">
        <v>2909</v>
      </c>
      <c r="K8" t="s">
        <v>331</v>
      </c>
      <c r="L8" s="13">
        <v>44887.363807870373</v>
      </c>
      <c r="M8" s="13">
        <v>44887.363807870373</v>
      </c>
      <c r="N8" s="13">
        <v>44886.598425925928</v>
      </c>
      <c r="O8" t="s">
        <v>2910</v>
      </c>
      <c r="P8" t="s">
        <v>99</v>
      </c>
      <c r="Q8" t="s">
        <v>4516</v>
      </c>
      <c r="R8" t="s">
        <v>99</v>
      </c>
      <c r="S8" t="s">
        <v>4517</v>
      </c>
      <c r="T8" t="s">
        <v>1226</v>
      </c>
      <c r="U8" t="s">
        <v>1227</v>
      </c>
      <c r="V8" t="s">
        <v>99</v>
      </c>
      <c r="W8" t="s">
        <v>4496</v>
      </c>
      <c r="X8" t="s">
        <v>2911</v>
      </c>
      <c r="Y8" t="s">
        <v>4518</v>
      </c>
      <c r="Z8" t="s">
        <v>99</v>
      </c>
    </row>
    <row r="9" spans="1:26">
      <c r="A9" t="s">
        <v>4519</v>
      </c>
      <c r="B9" t="s">
        <v>135</v>
      </c>
      <c r="C9">
        <v>2008</v>
      </c>
      <c r="D9" t="s">
        <v>2896</v>
      </c>
      <c r="E9" t="s">
        <v>2897</v>
      </c>
      <c r="F9" t="s">
        <v>2898</v>
      </c>
      <c r="G9" t="s">
        <v>99</v>
      </c>
      <c r="H9" t="s">
        <v>2899</v>
      </c>
      <c r="I9" t="s">
        <v>2900</v>
      </c>
      <c r="J9" t="s">
        <v>2901</v>
      </c>
      <c r="K9" t="s">
        <v>2902</v>
      </c>
      <c r="L9" s="13">
        <v>44887.363807870373</v>
      </c>
      <c r="M9" s="13">
        <v>44887.363807870373</v>
      </c>
      <c r="N9" s="13">
        <v>44886.598425925928</v>
      </c>
      <c r="O9" t="s">
        <v>2903</v>
      </c>
      <c r="P9" t="s">
        <v>2904</v>
      </c>
      <c r="Q9" t="s">
        <v>4520</v>
      </c>
      <c r="R9" t="s">
        <v>4503</v>
      </c>
      <c r="S9" t="s">
        <v>99</v>
      </c>
      <c r="T9" t="s">
        <v>99</v>
      </c>
      <c r="U9" t="s">
        <v>99</v>
      </c>
      <c r="V9" t="s">
        <v>4495</v>
      </c>
      <c r="W9" t="s">
        <v>4496</v>
      </c>
      <c r="X9" t="s">
        <v>99</v>
      </c>
      <c r="Y9" t="s">
        <v>99</v>
      </c>
      <c r="Z9" t="s">
        <v>99</v>
      </c>
    </row>
    <row r="10" spans="1:26">
      <c r="A10" t="s">
        <v>4521</v>
      </c>
      <c r="B10" t="s">
        <v>135</v>
      </c>
      <c r="C10">
        <v>2019</v>
      </c>
      <c r="D10" t="s">
        <v>2853</v>
      </c>
      <c r="E10" t="s">
        <v>2854</v>
      </c>
      <c r="F10" t="s">
        <v>2855</v>
      </c>
      <c r="G10" t="s">
        <v>99</v>
      </c>
      <c r="H10" t="s">
        <v>2856</v>
      </c>
      <c r="I10" t="s">
        <v>2857</v>
      </c>
      <c r="J10" t="s">
        <v>2858</v>
      </c>
      <c r="K10" t="s">
        <v>419</v>
      </c>
      <c r="L10" s="13">
        <v>44887.363807870373</v>
      </c>
      <c r="M10" s="13">
        <v>44887.363807870373</v>
      </c>
      <c r="N10" s="13">
        <v>44886.598449074074</v>
      </c>
      <c r="O10" t="s">
        <v>2859</v>
      </c>
      <c r="P10" t="s">
        <v>182</v>
      </c>
      <c r="Q10" t="s">
        <v>2216</v>
      </c>
      <c r="R10" t="s">
        <v>2855</v>
      </c>
      <c r="S10" t="s">
        <v>4522</v>
      </c>
      <c r="T10" t="s">
        <v>99</v>
      </c>
      <c r="U10" t="s">
        <v>99</v>
      </c>
      <c r="V10" t="s">
        <v>4495</v>
      </c>
      <c r="W10" t="s">
        <v>4496</v>
      </c>
      <c r="X10" t="s">
        <v>99</v>
      </c>
      <c r="Y10" t="s">
        <v>99</v>
      </c>
      <c r="Z10" t="s">
        <v>99</v>
      </c>
    </row>
    <row r="11" spans="1:26">
      <c r="A11" t="s">
        <v>4523</v>
      </c>
      <c r="B11" t="s">
        <v>222</v>
      </c>
      <c r="C11">
        <v>2003</v>
      </c>
      <c r="D11" t="s">
        <v>2889</v>
      </c>
      <c r="E11" t="s">
        <v>2890</v>
      </c>
      <c r="F11" t="s">
        <v>2891</v>
      </c>
      <c r="G11" t="s">
        <v>2892</v>
      </c>
      <c r="H11" t="s">
        <v>99</v>
      </c>
      <c r="I11" t="s">
        <v>99</v>
      </c>
      <c r="J11" t="s">
        <v>2893</v>
      </c>
      <c r="K11" t="s">
        <v>181</v>
      </c>
      <c r="L11" s="13">
        <v>44887.363807870373</v>
      </c>
      <c r="M11" s="13">
        <v>44887.363807870373</v>
      </c>
      <c r="N11" s="13">
        <v>44886.598460648151</v>
      </c>
      <c r="O11" t="s">
        <v>2894</v>
      </c>
      <c r="P11" t="s">
        <v>99</v>
      </c>
      <c r="Q11" t="s">
        <v>4524</v>
      </c>
      <c r="R11" t="s">
        <v>99</v>
      </c>
      <c r="S11" t="s">
        <v>99</v>
      </c>
      <c r="T11" t="s">
        <v>1218</v>
      </c>
      <c r="U11" t="s">
        <v>133</v>
      </c>
      <c r="V11" t="s">
        <v>99</v>
      </c>
      <c r="W11" t="s">
        <v>4496</v>
      </c>
      <c r="X11" t="s">
        <v>2895</v>
      </c>
      <c r="Y11" t="s">
        <v>4525</v>
      </c>
      <c r="Z11" t="s">
        <v>4526</v>
      </c>
    </row>
    <row r="12" spans="1:26">
      <c r="A12" t="s">
        <v>4527</v>
      </c>
      <c r="B12" t="s">
        <v>222</v>
      </c>
      <c r="C12">
        <v>2010</v>
      </c>
      <c r="D12" t="s">
        <v>2882</v>
      </c>
      <c r="E12" t="s">
        <v>2883</v>
      </c>
      <c r="F12" t="s">
        <v>2884</v>
      </c>
      <c r="G12" t="s">
        <v>2885</v>
      </c>
      <c r="H12" t="s">
        <v>99</v>
      </c>
      <c r="I12" t="s">
        <v>99</v>
      </c>
      <c r="J12" t="s">
        <v>2886</v>
      </c>
      <c r="K12" t="s">
        <v>130</v>
      </c>
      <c r="L12" s="13">
        <v>44887.363807870373</v>
      </c>
      <c r="M12" s="13">
        <v>44887.363807870373</v>
      </c>
      <c r="N12" s="13">
        <v>44886.59847222222</v>
      </c>
      <c r="O12" t="s">
        <v>2887</v>
      </c>
      <c r="P12" t="s">
        <v>99</v>
      </c>
      <c r="Q12" t="s">
        <v>4528</v>
      </c>
      <c r="R12" t="s">
        <v>99</v>
      </c>
      <c r="S12" t="s">
        <v>4529</v>
      </c>
      <c r="T12" t="s">
        <v>1218</v>
      </c>
      <c r="U12" t="s">
        <v>133</v>
      </c>
      <c r="V12" t="s">
        <v>4495</v>
      </c>
      <c r="W12" t="s">
        <v>4496</v>
      </c>
      <c r="X12" t="s">
        <v>2888</v>
      </c>
      <c r="Y12" t="s">
        <v>4530</v>
      </c>
      <c r="Z12" t="s">
        <v>4531</v>
      </c>
    </row>
    <row r="13" spans="1:26">
      <c r="A13" t="s">
        <v>4532</v>
      </c>
      <c r="B13" t="s">
        <v>222</v>
      </c>
      <c r="C13">
        <v>2013</v>
      </c>
      <c r="D13" t="s">
        <v>2875</v>
      </c>
      <c r="E13" t="s">
        <v>2876</v>
      </c>
      <c r="F13" t="s">
        <v>2877</v>
      </c>
      <c r="G13" t="s">
        <v>2878</v>
      </c>
      <c r="H13" t="s">
        <v>99</v>
      </c>
      <c r="I13" t="s">
        <v>99</v>
      </c>
      <c r="J13" t="s">
        <v>2879</v>
      </c>
      <c r="K13" t="s">
        <v>139</v>
      </c>
      <c r="L13" s="13">
        <v>44887.363807870373</v>
      </c>
      <c r="M13" s="13">
        <v>44887.363807870373</v>
      </c>
      <c r="N13" s="13">
        <v>44886.59847222222</v>
      </c>
      <c r="O13" t="s">
        <v>2880</v>
      </c>
      <c r="P13" t="s">
        <v>99</v>
      </c>
      <c r="Q13" t="s">
        <v>4533</v>
      </c>
      <c r="R13" t="s">
        <v>99</v>
      </c>
      <c r="S13" t="s">
        <v>99</v>
      </c>
      <c r="T13" t="s">
        <v>1218</v>
      </c>
      <c r="U13" t="s">
        <v>133</v>
      </c>
      <c r="V13" t="s">
        <v>4495</v>
      </c>
      <c r="W13" t="s">
        <v>4496</v>
      </c>
      <c r="X13" t="s">
        <v>2881</v>
      </c>
      <c r="Y13" t="s">
        <v>4534</v>
      </c>
      <c r="Z13" t="s">
        <v>4535</v>
      </c>
    </row>
    <row r="14" spans="1:26">
      <c r="A14" t="s">
        <v>4536</v>
      </c>
      <c r="B14" t="s">
        <v>135</v>
      </c>
      <c r="C14">
        <v>2013</v>
      </c>
      <c r="D14" t="s">
        <v>2867</v>
      </c>
      <c r="E14" t="s">
        <v>2868</v>
      </c>
      <c r="F14" t="s">
        <v>2869</v>
      </c>
      <c r="G14" t="s">
        <v>99</v>
      </c>
      <c r="H14" t="s">
        <v>2870</v>
      </c>
      <c r="I14" t="s">
        <v>2871</v>
      </c>
      <c r="J14" t="s">
        <v>2872</v>
      </c>
      <c r="K14" t="s">
        <v>2873</v>
      </c>
      <c r="L14" s="13">
        <v>44887.363807870373</v>
      </c>
      <c r="M14" s="13">
        <v>44887.363807870373</v>
      </c>
      <c r="N14" s="13">
        <v>44886.598460648151</v>
      </c>
      <c r="O14" t="s">
        <v>2874</v>
      </c>
      <c r="P14" t="s">
        <v>182</v>
      </c>
      <c r="Q14" t="s">
        <v>2216</v>
      </c>
      <c r="R14" t="s">
        <v>4537</v>
      </c>
      <c r="S14" t="s">
        <v>99</v>
      </c>
      <c r="T14" t="s">
        <v>99</v>
      </c>
      <c r="U14" t="s">
        <v>99</v>
      </c>
      <c r="V14" t="s">
        <v>4495</v>
      </c>
      <c r="W14" t="s">
        <v>4496</v>
      </c>
      <c r="X14" t="s">
        <v>99</v>
      </c>
      <c r="Y14" t="s">
        <v>99</v>
      </c>
      <c r="Z14" t="s">
        <v>99</v>
      </c>
    </row>
    <row r="15" spans="1:26">
      <c r="A15" t="s">
        <v>4538</v>
      </c>
      <c r="B15" t="s">
        <v>222</v>
      </c>
      <c r="C15">
        <v>1991</v>
      </c>
      <c r="D15" t="s">
        <v>2860</v>
      </c>
      <c r="E15" t="s">
        <v>2861</v>
      </c>
      <c r="F15" t="s">
        <v>2862</v>
      </c>
      <c r="G15" t="s">
        <v>2863</v>
      </c>
      <c r="H15" t="s">
        <v>99</v>
      </c>
      <c r="I15" t="s">
        <v>99</v>
      </c>
      <c r="J15" t="s">
        <v>2864</v>
      </c>
      <c r="K15" t="s">
        <v>2050</v>
      </c>
      <c r="L15" s="13">
        <v>44887.363807870373</v>
      </c>
      <c r="M15" s="13">
        <v>44887.363807870373</v>
      </c>
      <c r="N15" s="13">
        <v>44886.598460648151</v>
      </c>
      <c r="O15" t="s">
        <v>2865</v>
      </c>
      <c r="P15" t="s">
        <v>99</v>
      </c>
      <c r="Q15" t="s">
        <v>99</v>
      </c>
      <c r="R15" t="s">
        <v>99</v>
      </c>
      <c r="S15" t="s">
        <v>99</v>
      </c>
      <c r="T15" t="s">
        <v>1331</v>
      </c>
      <c r="U15" t="s">
        <v>1332</v>
      </c>
      <c r="V15" t="s">
        <v>4495</v>
      </c>
      <c r="W15" t="s">
        <v>4496</v>
      </c>
      <c r="X15" t="s">
        <v>2866</v>
      </c>
      <c r="Y15" t="s">
        <v>99</v>
      </c>
      <c r="Z15" t="s">
        <v>99</v>
      </c>
    </row>
    <row r="16" spans="1:26">
      <c r="A16" t="s">
        <v>4539</v>
      </c>
      <c r="B16" t="s">
        <v>135</v>
      </c>
      <c r="C16">
        <v>2022</v>
      </c>
      <c r="D16" t="s">
        <v>2846</v>
      </c>
      <c r="E16" t="s">
        <v>2847</v>
      </c>
      <c r="F16" t="s">
        <v>2848</v>
      </c>
      <c r="G16" t="s">
        <v>99</v>
      </c>
      <c r="H16" t="s">
        <v>2849</v>
      </c>
      <c r="I16" t="s">
        <v>2850</v>
      </c>
      <c r="J16" t="s">
        <v>2851</v>
      </c>
      <c r="K16" t="s">
        <v>2553</v>
      </c>
      <c r="L16" s="13">
        <v>44887.363807870373</v>
      </c>
      <c r="M16" s="13">
        <v>44887.363807870373</v>
      </c>
      <c r="N16" s="13">
        <v>44886.598437499997</v>
      </c>
      <c r="O16" t="s">
        <v>2852</v>
      </c>
      <c r="P16" t="s">
        <v>402</v>
      </c>
      <c r="Q16" t="s">
        <v>4540</v>
      </c>
      <c r="R16" t="s">
        <v>4541</v>
      </c>
      <c r="S16" t="s">
        <v>99</v>
      </c>
      <c r="T16" t="s">
        <v>99</v>
      </c>
      <c r="U16" t="s">
        <v>99</v>
      </c>
      <c r="V16" t="s">
        <v>4495</v>
      </c>
      <c r="W16" t="s">
        <v>4496</v>
      </c>
      <c r="X16" t="s">
        <v>99</v>
      </c>
      <c r="Y16" t="s">
        <v>99</v>
      </c>
      <c r="Z16" t="s">
        <v>99</v>
      </c>
    </row>
    <row r="17" spans="1:26">
      <c r="A17" t="s">
        <v>4542</v>
      </c>
      <c r="B17" t="s">
        <v>222</v>
      </c>
      <c r="C17">
        <v>2011</v>
      </c>
      <c r="D17" t="s">
        <v>2839</v>
      </c>
      <c r="E17" t="s">
        <v>2840</v>
      </c>
      <c r="F17" t="s">
        <v>2841</v>
      </c>
      <c r="G17" t="s">
        <v>2842</v>
      </c>
      <c r="H17" t="s">
        <v>99</v>
      </c>
      <c r="I17" t="s">
        <v>99</v>
      </c>
      <c r="J17" t="s">
        <v>2843</v>
      </c>
      <c r="K17" t="s">
        <v>102</v>
      </c>
      <c r="L17" s="13">
        <v>44887.363807870373</v>
      </c>
      <c r="M17" s="13">
        <v>44887.363807870373</v>
      </c>
      <c r="N17" s="13">
        <v>44886.598425925928</v>
      </c>
      <c r="O17" t="s">
        <v>2844</v>
      </c>
      <c r="P17" t="s">
        <v>99</v>
      </c>
      <c r="Q17" t="s">
        <v>4543</v>
      </c>
      <c r="R17" t="s">
        <v>99</v>
      </c>
      <c r="S17" t="s">
        <v>99</v>
      </c>
      <c r="T17" t="s">
        <v>1218</v>
      </c>
      <c r="U17" t="s">
        <v>133</v>
      </c>
      <c r="V17" t="s">
        <v>99</v>
      </c>
      <c r="W17" t="s">
        <v>4496</v>
      </c>
      <c r="X17" t="s">
        <v>2845</v>
      </c>
      <c r="Y17" t="s">
        <v>4544</v>
      </c>
      <c r="Z17" t="s">
        <v>99</v>
      </c>
    </row>
    <row r="18" spans="1:26">
      <c r="A18" t="s">
        <v>4545</v>
      </c>
      <c r="B18" t="s">
        <v>222</v>
      </c>
      <c r="C18">
        <v>2019</v>
      </c>
      <c r="D18" t="s">
        <v>2825</v>
      </c>
      <c r="E18" t="s">
        <v>2826</v>
      </c>
      <c r="F18" t="s">
        <v>2827</v>
      </c>
      <c r="G18" t="s">
        <v>2828</v>
      </c>
      <c r="H18" t="s">
        <v>99</v>
      </c>
      <c r="I18" t="s">
        <v>99</v>
      </c>
      <c r="J18" t="s">
        <v>2829</v>
      </c>
      <c r="K18" t="s">
        <v>271</v>
      </c>
      <c r="L18" s="13">
        <v>44887.363807870373</v>
      </c>
      <c r="M18" s="13">
        <v>44887.363807870373</v>
      </c>
      <c r="N18" s="13">
        <v>44886.598414351851</v>
      </c>
      <c r="O18" t="s">
        <v>2830</v>
      </c>
      <c r="P18" t="s">
        <v>99</v>
      </c>
      <c r="Q18" t="s">
        <v>4546</v>
      </c>
      <c r="R18" t="s">
        <v>99</v>
      </c>
      <c r="S18" t="s">
        <v>99</v>
      </c>
      <c r="T18" t="s">
        <v>1226</v>
      </c>
      <c r="U18" t="s">
        <v>1227</v>
      </c>
      <c r="V18" t="s">
        <v>4495</v>
      </c>
      <c r="W18" t="s">
        <v>4496</v>
      </c>
      <c r="X18" t="s">
        <v>2831</v>
      </c>
      <c r="Y18" t="s">
        <v>4547</v>
      </c>
      <c r="Z18" t="s">
        <v>99</v>
      </c>
    </row>
    <row r="19" spans="1:26">
      <c r="A19" t="s">
        <v>4548</v>
      </c>
      <c r="B19" t="s">
        <v>135</v>
      </c>
      <c r="C19">
        <v>2020</v>
      </c>
      <c r="D19" t="s">
        <v>2820</v>
      </c>
      <c r="E19" t="s">
        <v>2821</v>
      </c>
      <c r="F19" t="s">
        <v>2792</v>
      </c>
      <c r="G19" t="s">
        <v>99</v>
      </c>
      <c r="H19" t="s">
        <v>2793</v>
      </c>
      <c r="I19" t="s">
        <v>2822</v>
      </c>
      <c r="J19" t="s">
        <v>2823</v>
      </c>
      <c r="K19" t="s">
        <v>1729</v>
      </c>
      <c r="L19" s="13">
        <v>44887.363807870373</v>
      </c>
      <c r="M19" s="13">
        <v>44887.363807870373</v>
      </c>
      <c r="N19" s="13">
        <v>44886.598414351851</v>
      </c>
      <c r="O19" t="s">
        <v>2824</v>
      </c>
      <c r="P19" t="s">
        <v>941</v>
      </c>
      <c r="Q19" t="s">
        <v>4549</v>
      </c>
      <c r="R19" t="s">
        <v>4550</v>
      </c>
      <c r="S19" t="s">
        <v>99</v>
      </c>
      <c r="T19" t="s">
        <v>99</v>
      </c>
      <c r="U19" t="s">
        <v>99</v>
      </c>
      <c r="V19" t="s">
        <v>4495</v>
      </c>
      <c r="W19" t="s">
        <v>4496</v>
      </c>
      <c r="X19" t="s">
        <v>99</v>
      </c>
      <c r="Y19" t="s">
        <v>99</v>
      </c>
      <c r="Z19" t="s">
        <v>99</v>
      </c>
    </row>
    <row r="20" spans="1:26">
      <c r="A20" t="s">
        <v>4551</v>
      </c>
      <c r="B20" t="s">
        <v>135</v>
      </c>
      <c r="C20">
        <v>2022</v>
      </c>
      <c r="D20" t="s">
        <v>2790</v>
      </c>
      <c r="E20" t="s">
        <v>2791</v>
      </c>
      <c r="F20" t="s">
        <v>2792</v>
      </c>
      <c r="G20" t="s">
        <v>99</v>
      </c>
      <c r="H20" t="s">
        <v>2793</v>
      </c>
      <c r="I20" t="s">
        <v>2794</v>
      </c>
      <c r="J20" t="s">
        <v>2795</v>
      </c>
      <c r="K20" t="s">
        <v>1888</v>
      </c>
      <c r="L20" s="13">
        <v>44887.363807870373</v>
      </c>
      <c r="M20" s="13">
        <v>44887.363807870373</v>
      </c>
      <c r="N20" s="13">
        <v>44886.598379629628</v>
      </c>
      <c r="O20" t="s">
        <v>343</v>
      </c>
      <c r="P20" t="s">
        <v>2216</v>
      </c>
      <c r="Q20" t="s">
        <v>4552</v>
      </c>
      <c r="R20" t="s">
        <v>4550</v>
      </c>
      <c r="S20" t="s">
        <v>99</v>
      </c>
      <c r="T20" t="s">
        <v>99</v>
      </c>
      <c r="U20" t="s">
        <v>99</v>
      </c>
      <c r="V20" t="s">
        <v>4495</v>
      </c>
      <c r="W20" t="s">
        <v>4496</v>
      </c>
      <c r="X20" t="s">
        <v>99</v>
      </c>
      <c r="Y20" t="s">
        <v>99</v>
      </c>
      <c r="Z20" t="s">
        <v>99</v>
      </c>
    </row>
    <row r="21" spans="1:26">
      <c r="A21" t="s">
        <v>4553</v>
      </c>
      <c r="B21" t="s">
        <v>222</v>
      </c>
      <c r="C21">
        <v>2006</v>
      </c>
      <c r="D21" t="s">
        <v>2832</v>
      </c>
      <c r="E21" t="s">
        <v>2833</v>
      </c>
      <c r="F21" t="s">
        <v>2834</v>
      </c>
      <c r="G21" t="s">
        <v>2835</v>
      </c>
      <c r="H21" t="s">
        <v>99</v>
      </c>
      <c r="I21" t="s">
        <v>99</v>
      </c>
      <c r="J21" t="s">
        <v>2836</v>
      </c>
      <c r="K21" t="s">
        <v>279</v>
      </c>
      <c r="L21" s="13">
        <v>44887.363807870373</v>
      </c>
      <c r="M21" s="13">
        <v>44887.363807870373</v>
      </c>
      <c r="N21" s="13">
        <v>44886.598414351851</v>
      </c>
      <c r="O21" t="s">
        <v>2837</v>
      </c>
      <c r="P21" t="s">
        <v>99</v>
      </c>
      <c r="Q21" t="s">
        <v>4554</v>
      </c>
      <c r="R21" t="s">
        <v>99</v>
      </c>
      <c r="S21" t="s">
        <v>99</v>
      </c>
      <c r="T21" t="s">
        <v>1218</v>
      </c>
      <c r="U21" t="s">
        <v>133</v>
      </c>
      <c r="V21" t="s">
        <v>99</v>
      </c>
      <c r="W21" t="s">
        <v>4496</v>
      </c>
      <c r="X21" t="s">
        <v>2838</v>
      </c>
      <c r="Y21" t="s">
        <v>4555</v>
      </c>
      <c r="Z21" t="s">
        <v>4556</v>
      </c>
    </row>
    <row r="22" spans="1:26">
      <c r="A22" t="s">
        <v>4557</v>
      </c>
      <c r="B22" t="s">
        <v>135</v>
      </c>
      <c r="C22">
        <v>2018</v>
      </c>
      <c r="D22" t="s">
        <v>2815</v>
      </c>
      <c r="E22" t="s">
        <v>2816</v>
      </c>
      <c r="F22" t="s">
        <v>1312</v>
      </c>
      <c r="G22" t="s">
        <v>99</v>
      </c>
      <c r="H22" t="s">
        <v>1313</v>
      </c>
      <c r="I22" t="s">
        <v>2817</v>
      </c>
      <c r="J22" t="s">
        <v>2818</v>
      </c>
      <c r="K22" t="s">
        <v>2113</v>
      </c>
      <c r="L22" s="13">
        <v>44887.363807870373</v>
      </c>
      <c r="M22" s="13">
        <v>44887.363807870373</v>
      </c>
      <c r="N22" s="13">
        <v>44886.598402777781</v>
      </c>
      <c r="O22" t="s">
        <v>2819</v>
      </c>
      <c r="P22" t="s">
        <v>363</v>
      </c>
      <c r="Q22" t="s">
        <v>4558</v>
      </c>
      <c r="R22" t="s">
        <v>4510</v>
      </c>
      <c r="S22" t="s">
        <v>99</v>
      </c>
      <c r="T22" t="s">
        <v>99</v>
      </c>
      <c r="U22" t="s">
        <v>99</v>
      </c>
      <c r="V22" t="s">
        <v>4495</v>
      </c>
      <c r="W22" t="s">
        <v>4496</v>
      </c>
      <c r="X22" t="s">
        <v>99</v>
      </c>
      <c r="Y22" t="s">
        <v>99</v>
      </c>
      <c r="Z22" t="s">
        <v>99</v>
      </c>
    </row>
    <row r="23" spans="1:26">
      <c r="A23" t="s">
        <v>4559</v>
      </c>
      <c r="B23" t="s">
        <v>222</v>
      </c>
      <c r="C23">
        <v>2008</v>
      </c>
      <c r="D23" t="s">
        <v>2809</v>
      </c>
      <c r="E23" t="s">
        <v>2810</v>
      </c>
      <c r="F23" t="s">
        <v>2505</v>
      </c>
      <c r="G23" t="s">
        <v>2811</v>
      </c>
      <c r="H23" t="s">
        <v>99</v>
      </c>
      <c r="I23" t="s">
        <v>99</v>
      </c>
      <c r="J23" t="s">
        <v>2812</v>
      </c>
      <c r="K23" t="s">
        <v>736</v>
      </c>
      <c r="L23" s="13">
        <v>44887.363807870373</v>
      </c>
      <c r="M23" s="13">
        <v>44887.363807870373</v>
      </c>
      <c r="N23" s="13">
        <v>44886.598402777781</v>
      </c>
      <c r="O23" t="s">
        <v>2813</v>
      </c>
      <c r="P23" t="s">
        <v>99</v>
      </c>
      <c r="Q23" t="s">
        <v>2668</v>
      </c>
      <c r="R23" t="s">
        <v>99</v>
      </c>
      <c r="S23" t="s">
        <v>99</v>
      </c>
      <c r="T23" t="s">
        <v>1218</v>
      </c>
      <c r="U23" t="s">
        <v>133</v>
      </c>
      <c r="V23" t="s">
        <v>4495</v>
      </c>
      <c r="W23" t="s">
        <v>4496</v>
      </c>
      <c r="X23" t="s">
        <v>2814</v>
      </c>
      <c r="Y23" t="s">
        <v>4560</v>
      </c>
      <c r="Z23" t="s">
        <v>99</v>
      </c>
    </row>
    <row r="24" spans="1:26">
      <c r="A24" t="s">
        <v>4561</v>
      </c>
      <c r="B24" t="s">
        <v>222</v>
      </c>
      <c r="C24">
        <v>2003</v>
      </c>
      <c r="D24" t="s">
        <v>2803</v>
      </c>
      <c r="E24" t="s">
        <v>2804</v>
      </c>
      <c r="F24" t="s">
        <v>1272</v>
      </c>
      <c r="G24" t="s">
        <v>2805</v>
      </c>
      <c r="H24" t="s">
        <v>99</v>
      </c>
      <c r="I24" t="s">
        <v>99</v>
      </c>
      <c r="J24" t="s">
        <v>2806</v>
      </c>
      <c r="K24" t="s">
        <v>181</v>
      </c>
      <c r="L24" s="13">
        <v>44887.363807870373</v>
      </c>
      <c r="M24" s="13">
        <v>44887.363807870373</v>
      </c>
      <c r="N24" s="13">
        <v>44886.598402777781</v>
      </c>
      <c r="O24" t="s">
        <v>2807</v>
      </c>
      <c r="P24" t="s">
        <v>99</v>
      </c>
      <c r="Q24" t="s">
        <v>4562</v>
      </c>
      <c r="R24" t="s">
        <v>99</v>
      </c>
      <c r="S24" t="s">
        <v>4563</v>
      </c>
      <c r="T24" t="s">
        <v>1218</v>
      </c>
      <c r="U24" t="s">
        <v>133</v>
      </c>
      <c r="V24" t="s">
        <v>99</v>
      </c>
      <c r="W24" t="s">
        <v>4496</v>
      </c>
      <c r="X24" t="s">
        <v>2808</v>
      </c>
      <c r="Y24" t="s">
        <v>4564</v>
      </c>
      <c r="Z24" t="s">
        <v>4526</v>
      </c>
    </row>
    <row r="25" spans="1:26">
      <c r="A25" t="s">
        <v>4565</v>
      </c>
      <c r="B25" t="s">
        <v>222</v>
      </c>
      <c r="C25">
        <v>2012</v>
      </c>
      <c r="D25" t="s">
        <v>2796</v>
      </c>
      <c r="E25" t="s">
        <v>2797</v>
      </c>
      <c r="F25" t="s">
        <v>2798</v>
      </c>
      <c r="G25" t="s">
        <v>2799</v>
      </c>
      <c r="H25" t="s">
        <v>99</v>
      </c>
      <c r="I25" t="s">
        <v>99</v>
      </c>
      <c r="J25" t="s">
        <v>2800</v>
      </c>
      <c r="K25" t="s">
        <v>351</v>
      </c>
      <c r="L25" s="13">
        <v>44887.363807870373</v>
      </c>
      <c r="M25" s="13">
        <v>44887.363807870373</v>
      </c>
      <c r="N25" s="13">
        <v>44886.598391203705</v>
      </c>
      <c r="O25" t="s">
        <v>2801</v>
      </c>
      <c r="P25" t="s">
        <v>99</v>
      </c>
      <c r="Q25" t="s">
        <v>4566</v>
      </c>
      <c r="R25" t="s">
        <v>99</v>
      </c>
      <c r="S25" t="s">
        <v>99</v>
      </c>
      <c r="T25" t="s">
        <v>1218</v>
      </c>
      <c r="U25" t="s">
        <v>133</v>
      </c>
      <c r="V25" t="s">
        <v>99</v>
      </c>
      <c r="W25" t="s">
        <v>4496</v>
      </c>
      <c r="X25" t="s">
        <v>2802</v>
      </c>
      <c r="Y25" t="s">
        <v>4567</v>
      </c>
      <c r="Z25" t="s">
        <v>4568</v>
      </c>
    </row>
    <row r="26" spans="1:26">
      <c r="A26" t="s">
        <v>4569</v>
      </c>
      <c r="B26" t="s">
        <v>135</v>
      </c>
      <c r="C26">
        <v>2013</v>
      </c>
      <c r="D26" t="s">
        <v>2784</v>
      </c>
      <c r="E26" t="s">
        <v>2785</v>
      </c>
      <c r="F26" t="s">
        <v>1607</v>
      </c>
      <c r="G26" t="s">
        <v>99</v>
      </c>
      <c r="H26" t="s">
        <v>1266</v>
      </c>
      <c r="I26" t="s">
        <v>2786</v>
      </c>
      <c r="J26" t="s">
        <v>2787</v>
      </c>
      <c r="K26" t="s">
        <v>2788</v>
      </c>
      <c r="L26" s="13">
        <v>44887.363807870373</v>
      </c>
      <c r="M26" s="13">
        <v>44887.363807870373</v>
      </c>
      <c r="N26" s="13">
        <v>44886.598379629628</v>
      </c>
      <c r="O26" t="s">
        <v>2789</v>
      </c>
      <c r="P26" t="s">
        <v>182</v>
      </c>
      <c r="Q26" t="s">
        <v>543</v>
      </c>
      <c r="R26" t="s">
        <v>4513</v>
      </c>
      <c r="S26" t="s">
        <v>99</v>
      </c>
      <c r="T26" t="s">
        <v>99</v>
      </c>
      <c r="U26" t="s">
        <v>99</v>
      </c>
      <c r="V26" t="s">
        <v>4495</v>
      </c>
      <c r="W26" t="s">
        <v>4496</v>
      </c>
      <c r="X26" t="s">
        <v>99</v>
      </c>
      <c r="Y26" t="s">
        <v>99</v>
      </c>
      <c r="Z26" t="s">
        <v>99</v>
      </c>
    </row>
    <row r="27" spans="1:26">
      <c r="A27" t="s">
        <v>4570</v>
      </c>
      <c r="B27" t="s">
        <v>135</v>
      </c>
      <c r="C27">
        <v>1994</v>
      </c>
      <c r="D27" t="s">
        <v>2776</v>
      </c>
      <c r="E27" t="s">
        <v>2777</v>
      </c>
      <c r="F27" t="s">
        <v>2778</v>
      </c>
      <c r="G27" t="s">
        <v>99</v>
      </c>
      <c r="H27" t="s">
        <v>2779</v>
      </c>
      <c r="I27" t="s">
        <v>2780</v>
      </c>
      <c r="J27" t="s">
        <v>2781</v>
      </c>
      <c r="K27" t="s">
        <v>2782</v>
      </c>
      <c r="L27" s="13">
        <v>44887.363807870373</v>
      </c>
      <c r="M27" s="13">
        <v>44887.363807870373</v>
      </c>
      <c r="N27" s="13">
        <v>44886.598379629628</v>
      </c>
      <c r="O27" t="s">
        <v>2783</v>
      </c>
      <c r="P27" t="s">
        <v>500</v>
      </c>
      <c r="Q27" t="s">
        <v>2216</v>
      </c>
      <c r="R27" t="s">
        <v>4571</v>
      </c>
      <c r="S27" t="s">
        <v>99</v>
      </c>
      <c r="T27" t="s">
        <v>99</v>
      </c>
      <c r="U27" t="s">
        <v>99</v>
      </c>
      <c r="V27" t="s">
        <v>4495</v>
      </c>
      <c r="W27" t="s">
        <v>4496</v>
      </c>
      <c r="X27" t="s">
        <v>99</v>
      </c>
      <c r="Y27" t="s">
        <v>99</v>
      </c>
      <c r="Z27" t="s">
        <v>99</v>
      </c>
    </row>
    <row r="28" spans="1:26">
      <c r="A28" t="s">
        <v>4572</v>
      </c>
      <c r="B28" t="s">
        <v>135</v>
      </c>
      <c r="C28">
        <v>2020</v>
      </c>
      <c r="D28" t="s">
        <v>2768</v>
      </c>
      <c r="E28" t="s">
        <v>2769</v>
      </c>
      <c r="F28" t="s">
        <v>2770</v>
      </c>
      <c r="G28" t="s">
        <v>99</v>
      </c>
      <c r="H28" t="s">
        <v>2771</v>
      </c>
      <c r="I28" t="s">
        <v>2772</v>
      </c>
      <c r="J28" t="s">
        <v>2773</v>
      </c>
      <c r="K28" t="s">
        <v>2774</v>
      </c>
      <c r="L28" s="13">
        <v>44887.363807870373</v>
      </c>
      <c r="M28" s="13">
        <v>44887.363807870373</v>
      </c>
      <c r="N28" s="13">
        <v>44886.598368055558</v>
      </c>
      <c r="O28" t="s">
        <v>2775</v>
      </c>
      <c r="P28" t="s">
        <v>500</v>
      </c>
      <c r="Q28" t="s">
        <v>4573</v>
      </c>
      <c r="R28" t="s">
        <v>4574</v>
      </c>
      <c r="S28" t="s">
        <v>99</v>
      </c>
      <c r="T28" t="s">
        <v>99</v>
      </c>
      <c r="U28" t="s">
        <v>99</v>
      </c>
      <c r="V28" t="s">
        <v>4495</v>
      </c>
      <c r="W28" t="s">
        <v>4496</v>
      </c>
      <c r="X28" t="s">
        <v>99</v>
      </c>
      <c r="Y28" t="s">
        <v>99</v>
      </c>
      <c r="Z28" t="s">
        <v>99</v>
      </c>
    </row>
    <row r="29" spans="1:26">
      <c r="A29" t="s">
        <v>4575</v>
      </c>
      <c r="B29" t="s">
        <v>222</v>
      </c>
      <c r="C29">
        <v>2021</v>
      </c>
      <c r="D29" t="s">
        <v>2707</v>
      </c>
      <c r="E29" t="s">
        <v>2708</v>
      </c>
      <c r="F29" t="s">
        <v>2709</v>
      </c>
      <c r="G29" t="s">
        <v>4576</v>
      </c>
      <c r="H29" t="s">
        <v>99</v>
      </c>
      <c r="I29" t="s">
        <v>99</v>
      </c>
      <c r="J29" t="s">
        <v>4577</v>
      </c>
      <c r="K29" t="s">
        <v>113</v>
      </c>
      <c r="L29" s="13">
        <v>44887.363807870373</v>
      </c>
      <c r="M29" s="13">
        <v>44887.363807870373</v>
      </c>
      <c r="N29" s="13">
        <v>44886.598368055558</v>
      </c>
      <c r="O29" t="s">
        <v>4578</v>
      </c>
      <c r="P29" t="s">
        <v>99</v>
      </c>
      <c r="Q29" t="s">
        <v>99</v>
      </c>
      <c r="R29" t="s">
        <v>99</v>
      </c>
      <c r="S29" t="s">
        <v>99</v>
      </c>
      <c r="T29" t="s">
        <v>1226</v>
      </c>
      <c r="U29" t="s">
        <v>1227</v>
      </c>
      <c r="V29" t="s">
        <v>4495</v>
      </c>
      <c r="W29" t="s">
        <v>4496</v>
      </c>
      <c r="X29" t="s">
        <v>4579</v>
      </c>
      <c r="Y29" t="s">
        <v>4580</v>
      </c>
      <c r="Z29" t="s">
        <v>99</v>
      </c>
    </row>
    <row r="30" spans="1:26">
      <c r="A30" t="s">
        <v>4581</v>
      </c>
      <c r="B30" t="s">
        <v>135</v>
      </c>
      <c r="C30">
        <v>2018</v>
      </c>
      <c r="D30" t="s">
        <v>2760</v>
      </c>
      <c r="E30" t="s">
        <v>2761</v>
      </c>
      <c r="F30" t="s">
        <v>2762</v>
      </c>
      <c r="G30" t="s">
        <v>99</v>
      </c>
      <c r="H30" t="s">
        <v>2763</v>
      </c>
      <c r="I30" t="s">
        <v>2764</v>
      </c>
      <c r="J30" t="s">
        <v>2765</v>
      </c>
      <c r="K30" t="s">
        <v>2766</v>
      </c>
      <c r="L30" s="13">
        <v>44887.363807870373</v>
      </c>
      <c r="M30" s="13">
        <v>44887.363807870373</v>
      </c>
      <c r="N30" s="13">
        <v>44886.598344907405</v>
      </c>
      <c r="O30" t="s">
        <v>2767</v>
      </c>
      <c r="P30" t="s">
        <v>182</v>
      </c>
      <c r="Q30" t="s">
        <v>2668</v>
      </c>
      <c r="R30" t="s">
        <v>4582</v>
      </c>
      <c r="S30" t="s">
        <v>4583</v>
      </c>
      <c r="T30" t="s">
        <v>99</v>
      </c>
      <c r="U30" t="s">
        <v>99</v>
      </c>
      <c r="V30" t="s">
        <v>4495</v>
      </c>
      <c r="W30" t="s">
        <v>4496</v>
      </c>
      <c r="X30" t="s">
        <v>99</v>
      </c>
      <c r="Y30" t="s">
        <v>99</v>
      </c>
      <c r="Z30" t="s">
        <v>99</v>
      </c>
    </row>
    <row r="31" spans="1:26">
      <c r="A31" t="s">
        <v>4584</v>
      </c>
      <c r="B31" t="s">
        <v>135</v>
      </c>
      <c r="C31">
        <v>2016</v>
      </c>
      <c r="D31" t="s">
        <v>2753</v>
      </c>
      <c r="E31" t="s">
        <v>2754</v>
      </c>
      <c r="F31" t="s">
        <v>2755</v>
      </c>
      <c r="G31" t="s">
        <v>99</v>
      </c>
      <c r="H31" t="s">
        <v>2756</v>
      </c>
      <c r="I31" t="s">
        <v>2757</v>
      </c>
      <c r="J31" t="s">
        <v>2758</v>
      </c>
      <c r="K31" t="s">
        <v>249</v>
      </c>
      <c r="L31" s="13">
        <v>44887.363807870373</v>
      </c>
      <c r="M31" s="13">
        <v>44887.363807870373</v>
      </c>
      <c r="N31" s="13">
        <v>44886.598344907405</v>
      </c>
      <c r="O31" t="s">
        <v>2759</v>
      </c>
      <c r="P31" t="s">
        <v>288</v>
      </c>
      <c r="Q31" t="s">
        <v>4585</v>
      </c>
      <c r="R31" t="s">
        <v>4586</v>
      </c>
      <c r="S31" t="s">
        <v>99</v>
      </c>
      <c r="T31" t="s">
        <v>99</v>
      </c>
      <c r="U31" t="s">
        <v>99</v>
      </c>
      <c r="V31" t="s">
        <v>4495</v>
      </c>
      <c r="W31" t="s">
        <v>4496</v>
      </c>
      <c r="X31" t="s">
        <v>99</v>
      </c>
      <c r="Y31" t="s">
        <v>99</v>
      </c>
      <c r="Z31" t="s">
        <v>99</v>
      </c>
    </row>
    <row r="32" spans="1:26">
      <c r="A32" t="s">
        <v>4587</v>
      </c>
      <c r="B32" t="s">
        <v>222</v>
      </c>
      <c r="C32">
        <v>2009</v>
      </c>
      <c r="D32" t="s">
        <v>2746</v>
      </c>
      <c r="E32" t="s">
        <v>2747</v>
      </c>
      <c r="F32" t="s">
        <v>2748</v>
      </c>
      <c r="G32" t="s">
        <v>2749</v>
      </c>
      <c r="H32" t="s">
        <v>99</v>
      </c>
      <c r="I32" t="s">
        <v>99</v>
      </c>
      <c r="J32" t="s">
        <v>2750</v>
      </c>
      <c r="K32" t="s">
        <v>615</v>
      </c>
      <c r="L32" s="13">
        <v>44887.363807870373</v>
      </c>
      <c r="M32" s="13">
        <v>44887.363807870373</v>
      </c>
      <c r="N32" s="13">
        <v>44886.598344907405</v>
      </c>
      <c r="O32" t="s">
        <v>2751</v>
      </c>
      <c r="P32" t="s">
        <v>99</v>
      </c>
      <c r="Q32" t="s">
        <v>4588</v>
      </c>
      <c r="R32" t="s">
        <v>99</v>
      </c>
      <c r="S32" t="s">
        <v>99</v>
      </c>
      <c r="T32" t="s">
        <v>1218</v>
      </c>
      <c r="U32" t="s">
        <v>133</v>
      </c>
      <c r="V32" t="s">
        <v>99</v>
      </c>
      <c r="W32" t="s">
        <v>4496</v>
      </c>
      <c r="X32" t="s">
        <v>2752</v>
      </c>
      <c r="Y32" t="s">
        <v>4589</v>
      </c>
      <c r="Z32" t="s">
        <v>99</v>
      </c>
    </row>
    <row r="33" spans="1:26">
      <c r="A33" t="s">
        <v>4590</v>
      </c>
      <c r="B33" t="s">
        <v>222</v>
      </c>
      <c r="C33">
        <v>2008</v>
      </c>
      <c r="D33" t="s">
        <v>2739</v>
      </c>
      <c r="E33" t="s">
        <v>2740</v>
      </c>
      <c r="F33" t="s">
        <v>2741</v>
      </c>
      <c r="G33" t="s">
        <v>2742</v>
      </c>
      <c r="H33" t="s">
        <v>99</v>
      </c>
      <c r="I33" t="s">
        <v>99</v>
      </c>
      <c r="J33" t="s">
        <v>2743</v>
      </c>
      <c r="K33" t="s">
        <v>736</v>
      </c>
      <c r="L33" s="13">
        <v>44887.363807870373</v>
      </c>
      <c r="M33" s="13">
        <v>44887.363807870373</v>
      </c>
      <c r="N33" s="13">
        <v>44886.598344907405</v>
      </c>
      <c r="O33" t="s">
        <v>2744</v>
      </c>
      <c r="P33" t="s">
        <v>99</v>
      </c>
      <c r="Q33" t="s">
        <v>4591</v>
      </c>
      <c r="R33" t="s">
        <v>99</v>
      </c>
      <c r="S33" t="s">
        <v>99</v>
      </c>
      <c r="T33" t="s">
        <v>1218</v>
      </c>
      <c r="U33" t="s">
        <v>133</v>
      </c>
      <c r="V33" t="s">
        <v>4495</v>
      </c>
      <c r="W33" t="s">
        <v>4496</v>
      </c>
      <c r="X33" t="s">
        <v>2745</v>
      </c>
      <c r="Y33" t="s">
        <v>4592</v>
      </c>
      <c r="Z33" t="s">
        <v>99</v>
      </c>
    </row>
    <row r="34" spans="1:26">
      <c r="A34" t="s">
        <v>4593</v>
      </c>
      <c r="B34" t="s">
        <v>135</v>
      </c>
      <c r="C34">
        <v>2016</v>
      </c>
      <c r="D34" t="s">
        <v>2731</v>
      </c>
      <c r="E34" t="s">
        <v>2732</v>
      </c>
      <c r="F34" t="s">
        <v>2733</v>
      </c>
      <c r="G34" t="s">
        <v>99</v>
      </c>
      <c r="H34" t="s">
        <v>2734</v>
      </c>
      <c r="I34" t="s">
        <v>2735</v>
      </c>
      <c r="J34" t="s">
        <v>2736</v>
      </c>
      <c r="K34" t="s">
        <v>2737</v>
      </c>
      <c r="L34" s="13">
        <v>44887.363807870373</v>
      </c>
      <c r="M34" s="13">
        <v>44887.363807870373</v>
      </c>
      <c r="N34" s="13">
        <v>44886.598333333335</v>
      </c>
      <c r="O34" t="s">
        <v>2738</v>
      </c>
      <c r="P34" t="s">
        <v>182</v>
      </c>
      <c r="Q34" t="s">
        <v>557</v>
      </c>
      <c r="R34" t="s">
        <v>4594</v>
      </c>
      <c r="S34" t="s">
        <v>99</v>
      </c>
      <c r="T34" t="s">
        <v>99</v>
      </c>
      <c r="U34" t="s">
        <v>99</v>
      </c>
      <c r="V34" t="s">
        <v>4495</v>
      </c>
      <c r="W34" t="s">
        <v>4496</v>
      </c>
      <c r="X34" t="s">
        <v>99</v>
      </c>
      <c r="Y34" t="s">
        <v>99</v>
      </c>
      <c r="Z34" t="s">
        <v>99</v>
      </c>
    </row>
    <row r="35" spans="1:26">
      <c r="A35" t="s">
        <v>4595</v>
      </c>
      <c r="B35" t="s">
        <v>222</v>
      </c>
      <c r="C35">
        <v>2002</v>
      </c>
      <c r="D35" t="s">
        <v>2721</v>
      </c>
      <c r="E35" t="s">
        <v>2722</v>
      </c>
      <c r="F35" t="s">
        <v>2723</v>
      </c>
      <c r="G35" t="s">
        <v>2724</v>
      </c>
      <c r="H35" t="s">
        <v>99</v>
      </c>
      <c r="I35" t="s">
        <v>99</v>
      </c>
      <c r="J35" t="s">
        <v>2725</v>
      </c>
      <c r="K35" t="s">
        <v>2726</v>
      </c>
      <c r="L35" s="13">
        <v>44887.363807870373</v>
      </c>
      <c r="M35" s="13">
        <v>44887.363807870373</v>
      </c>
      <c r="N35" s="13">
        <v>44886.598333333335</v>
      </c>
      <c r="O35" t="s">
        <v>2727</v>
      </c>
      <c r="P35" t="s">
        <v>99</v>
      </c>
      <c r="Q35" t="s">
        <v>4596</v>
      </c>
      <c r="R35" t="s">
        <v>99</v>
      </c>
      <c r="S35" t="s">
        <v>99</v>
      </c>
      <c r="T35" t="s">
        <v>2728</v>
      </c>
      <c r="U35" t="s">
        <v>2729</v>
      </c>
      <c r="V35" t="s">
        <v>4495</v>
      </c>
      <c r="W35" t="s">
        <v>4496</v>
      </c>
      <c r="X35" t="s">
        <v>2730</v>
      </c>
      <c r="Y35" t="s">
        <v>99</v>
      </c>
      <c r="Z35" t="s">
        <v>99</v>
      </c>
    </row>
    <row r="36" spans="1:26">
      <c r="A36" t="s">
        <v>4597</v>
      </c>
      <c r="B36" t="s">
        <v>222</v>
      </c>
      <c r="C36">
        <v>2005</v>
      </c>
      <c r="D36" t="s">
        <v>2716</v>
      </c>
      <c r="E36" t="s">
        <v>2717</v>
      </c>
      <c r="F36" t="s">
        <v>1501</v>
      </c>
      <c r="G36" t="s">
        <v>1502</v>
      </c>
      <c r="H36" t="s">
        <v>99</v>
      </c>
      <c r="I36" t="s">
        <v>99</v>
      </c>
      <c r="J36" t="s">
        <v>2718</v>
      </c>
      <c r="K36" t="s">
        <v>846</v>
      </c>
      <c r="L36" s="13">
        <v>44887.363807870373</v>
      </c>
      <c r="M36" s="13">
        <v>44887.363807870373</v>
      </c>
      <c r="N36" s="13">
        <v>44886.598333333335</v>
      </c>
      <c r="O36" t="s">
        <v>2719</v>
      </c>
      <c r="P36" t="s">
        <v>99</v>
      </c>
      <c r="Q36" t="s">
        <v>4598</v>
      </c>
      <c r="R36" t="s">
        <v>99</v>
      </c>
      <c r="S36" t="s">
        <v>99</v>
      </c>
      <c r="T36" t="s">
        <v>1218</v>
      </c>
      <c r="U36" t="s">
        <v>133</v>
      </c>
      <c r="V36" t="s">
        <v>99</v>
      </c>
      <c r="W36" t="s">
        <v>4496</v>
      </c>
      <c r="X36" t="s">
        <v>2720</v>
      </c>
      <c r="Y36" t="s">
        <v>4599</v>
      </c>
      <c r="Z36" t="s">
        <v>4556</v>
      </c>
    </row>
    <row r="37" spans="1:26">
      <c r="A37" t="s">
        <v>4600</v>
      </c>
      <c r="B37" t="s">
        <v>222</v>
      </c>
      <c r="C37">
        <v>2016</v>
      </c>
      <c r="D37" t="s">
        <v>2696</v>
      </c>
      <c r="E37" t="s">
        <v>2697</v>
      </c>
      <c r="F37" t="s">
        <v>2219</v>
      </c>
      <c r="G37" t="s">
        <v>2220</v>
      </c>
      <c r="H37" t="s">
        <v>99</v>
      </c>
      <c r="I37" t="s">
        <v>99</v>
      </c>
      <c r="J37" t="s">
        <v>2698</v>
      </c>
      <c r="K37" t="s">
        <v>331</v>
      </c>
      <c r="L37" s="13">
        <v>44887.363807870373</v>
      </c>
      <c r="M37" s="13">
        <v>44887.363807870373</v>
      </c>
      <c r="N37" s="13">
        <v>44886.598298611112</v>
      </c>
      <c r="O37" t="s">
        <v>2699</v>
      </c>
      <c r="P37" t="s">
        <v>99</v>
      </c>
      <c r="Q37" t="s">
        <v>4601</v>
      </c>
      <c r="R37" t="s">
        <v>99</v>
      </c>
      <c r="S37" t="s">
        <v>99</v>
      </c>
      <c r="T37" t="s">
        <v>1226</v>
      </c>
      <c r="U37" t="s">
        <v>1227</v>
      </c>
      <c r="V37" t="s">
        <v>99</v>
      </c>
      <c r="W37" t="s">
        <v>4496</v>
      </c>
      <c r="X37" t="s">
        <v>2700</v>
      </c>
      <c r="Y37" t="s">
        <v>4602</v>
      </c>
      <c r="Z37" t="s">
        <v>99</v>
      </c>
    </row>
    <row r="38" spans="1:26">
      <c r="A38" t="s">
        <v>4603</v>
      </c>
      <c r="B38" t="s">
        <v>222</v>
      </c>
      <c r="C38">
        <v>2010</v>
      </c>
      <c r="D38" t="s">
        <v>2689</v>
      </c>
      <c r="E38" t="s">
        <v>2690</v>
      </c>
      <c r="F38" t="s">
        <v>2691</v>
      </c>
      <c r="G38" t="s">
        <v>2692</v>
      </c>
      <c r="H38" t="s">
        <v>99</v>
      </c>
      <c r="I38" t="s">
        <v>99</v>
      </c>
      <c r="J38" t="s">
        <v>2693</v>
      </c>
      <c r="K38" t="s">
        <v>130</v>
      </c>
      <c r="L38" s="13">
        <v>44887.363807870373</v>
      </c>
      <c r="M38" s="13">
        <v>44887.363807870373</v>
      </c>
      <c r="N38" s="13">
        <v>44886.598298611112</v>
      </c>
      <c r="O38" t="s">
        <v>2694</v>
      </c>
      <c r="P38" t="s">
        <v>99</v>
      </c>
      <c r="Q38" t="s">
        <v>4604</v>
      </c>
      <c r="R38" t="s">
        <v>99</v>
      </c>
      <c r="S38" t="s">
        <v>99</v>
      </c>
      <c r="T38" t="s">
        <v>1218</v>
      </c>
      <c r="U38" t="s">
        <v>133</v>
      </c>
      <c r="V38" t="s">
        <v>99</v>
      </c>
      <c r="W38" t="s">
        <v>4496</v>
      </c>
      <c r="X38" t="s">
        <v>2695</v>
      </c>
      <c r="Y38" t="s">
        <v>4605</v>
      </c>
      <c r="Z38" t="s">
        <v>4568</v>
      </c>
    </row>
    <row r="39" spans="1:26">
      <c r="A39" t="s">
        <v>4606</v>
      </c>
      <c r="B39" t="s">
        <v>222</v>
      </c>
      <c r="C39">
        <v>2020</v>
      </c>
      <c r="D39" t="s">
        <v>2683</v>
      </c>
      <c r="E39" t="s">
        <v>2684</v>
      </c>
      <c r="F39" t="s">
        <v>1848</v>
      </c>
      <c r="G39" t="s">
        <v>2685</v>
      </c>
      <c r="H39" t="s">
        <v>99</v>
      </c>
      <c r="I39" t="s">
        <v>99</v>
      </c>
      <c r="J39" t="s">
        <v>2686</v>
      </c>
      <c r="K39" t="s">
        <v>176</v>
      </c>
      <c r="L39" s="13">
        <v>44887.363807870373</v>
      </c>
      <c r="M39" s="13">
        <v>44887.363807870373</v>
      </c>
      <c r="N39" s="13">
        <v>44886.598275462966</v>
      </c>
      <c r="O39" t="s">
        <v>2687</v>
      </c>
      <c r="P39" t="s">
        <v>99</v>
      </c>
      <c r="Q39" t="s">
        <v>4607</v>
      </c>
      <c r="R39" t="s">
        <v>99</v>
      </c>
      <c r="S39" t="s">
        <v>4608</v>
      </c>
      <c r="T39" t="s">
        <v>1226</v>
      </c>
      <c r="U39" t="s">
        <v>1227</v>
      </c>
      <c r="V39" t="s">
        <v>4495</v>
      </c>
      <c r="W39" t="s">
        <v>4496</v>
      </c>
      <c r="X39" t="s">
        <v>2688</v>
      </c>
      <c r="Y39" t="s">
        <v>4609</v>
      </c>
      <c r="Z39" t="s">
        <v>99</v>
      </c>
    </row>
    <row r="40" spans="1:26">
      <c r="A40" t="s">
        <v>4610</v>
      </c>
      <c r="B40" t="s">
        <v>222</v>
      </c>
      <c r="C40">
        <v>2016</v>
      </c>
      <c r="D40" t="s">
        <v>2669</v>
      </c>
      <c r="E40" t="s">
        <v>2670</v>
      </c>
      <c r="F40" t="s">
        <v>2671</v>
      </c>
      <c r="G40" t="s">
        <v>2672</v>
      </c>
      <c r="H40" t="s">
        <v>99</v>
      </c>
      <c r="I40" t="s">
        <v>99</v>
      </c>
      <c r="J40" t="s">
        <v>2673</v>
      </c>
      <c r="K40" t="s">
        <v>331</v>
      </c>
      <c r="L40" s="13">
        <v>44887.363807870373</v>
      </c>
      <c r="M40" s="13">
        <v>44887.363807870373</v>
      </c>
      <c r="N40" s="13">
        <v>44886.598263888889</v>
      </c>
      <c r="O40" t="s">
        <v>2674</v>
      </c>
      <c r="P40" t="s">
        <v>99</v>
      </c>
      <c r="Q40" t="s">
        <v>4611</v>
      </c>
      <c r="R40" t="s">
        <v>99</v>
      </c>
      <c r="S40" t="s">
        <v>4612</v>
      </c>
      <c r="T40" t="s">
        <v>1226</v>
      </c>
      <c r="U40" t="s">
        <v>1227</v>
      </c>
      <c r="V40" t="s">
        <v>99</v>
      </c>
      <c r="W40" t="s">
        <v>4496</v>
      </c>
      <c r="X40" t="s">
        <v>2675</v>
      </c>
      <c r="Y40" t="s">
        <v>4613</v>
      </c>
      <c r="Z40" t="s">
        <v>99</v>
      </c>
    </row>
    <row r="41" spans="1:26">
      <c r="A41" t="s">
        <v>4614</v>
      </c>
      <c r="B41" t="s">
        <v>222</v>
      </c>
      <c r="C41">
        <v>2019</v>
      </c>
      <c r="D41" t="s">
        <v>2707</v>
      </c>
      <c r="E41" t="s">
        <v>2708</v>
      </c>
      <c r="F41" t="s">
        <v>2709</v>
      </c>
      <c r="G41" t="s">
        <v>2710</v>
      </c>
      <c r="H41" t="s">
        <v>99</v>
      </c>
      <c r="I41" t="s">
        <v>99</v>
      </c>
      <c r="J41" t="s">
        <v>2711</v>
      </c>
      <c r="K41" t="s">
        <v>271</v>
      </c>
      <c r="L41" s="13">
        <v>44887.363807870373</v>
      </c>
      <c r="M41" s="13">
        <v>44887.363807870373</v>
      </c>
      <c r="N41" s="13">
        <v>44886.598321759258</v>
      </c>
      <c r="O41" t="s">
        <v>2712</v>
      </c>
      <c r="P41" t="s">
        <v>99</v>
      </c>
      <c r="Q41" t="s">
        <v>99</v>
      </c>
      <c r="R41" t="s">
        <v>99</v>
      </c>
      <c r="S41" t="s">
        <v>99</v>
      </c>
      <c r="T41" t="s">
        <v>2713</v>
      </c>
      <c r="U41" t="s">
        <v>2714</v>
      </c>
      <c r="V41" t="s">
        <v>4495</v>
      </c>
      <c r="W41" t="s">
        <v>4496</v>
      </c>
      <c r="X41" t="s">
        <v>2715</v>
      </c>
      <c r="Y41" t="s">
        <v>4580</v>
      </c>
      <c r="Z41" t="s">
        <v>99</v>
      </c>
    </row>
    <row r="42" spans="1:26">
      <c r="A42" t="s">
        <v>4615</v>
      </c>
      <c r="B42" t="s">
        <v>222</v>
      </c>
      <c r="C42">
        <v>2017</v>
      </c>
      <c r="D42" t="s">
        <v>2701</v>
      </c>
      <c r="E42" t="s">
        <v>2702</v>
      </c>
      <c r="F42" t="s">
        <v>2269</v>
      </c>
      <c r="G42" t="s">
        <v>2703</v>
      </c>
      <c r="H42" t="s">
        <v>99</v>
      </c>
      <c r="I42" t="s">
        <v>99</v>
      </c>
      <c r="J42" t="s">
        <v>2704</v>
      </c>
      <c r="K42" t="s">
        <v>156</v>
      </c>
      <c r="L42" s="13">
        <v>44887.363807870373</v>
      </c>
      <c r="M42" s="13">
        <v>44887.363807870373</v>
      </c>
      <c r="N42" s="13">
        <v>44886.598298611112</v>
      </c>
      <c r="O42" t="s">
        <v>2705</v>
      </c>
      <c r="P42" t="s">
        <v>99</v>
      </c>
      <c r="Q42" t="s">
        <v>4616</v>
      </c>
      <c r="R42" t="s">
        <v>99</v>
      </c>
      <c r="S42" t="s">
        <v>99</v>
      </c>
      <c r="T42" t="s">
        <v>1226</v>
      </c>
      <c r="U42" t="s">
        <v>1227</v>
      </c>
      <c r="V42" t="s">
        <v>99</v>
      </c>
      <c r="W42" t="s">
        <v>4496</v>
      </c>
      <c r="X42" t="s">
        <v>2706</v>
      </c>
      <c r="Y42" t="s">
        <v>4617</v>
      </c>
      <c r="Z42" t="s">
        <v>99</v>
      </c>
    </row>
    <row r="43" spans="1:26">
      <c r="A43" t="s">
        <v>4618</v>
      </c>
      <c r="B43" t="s">
        <v>222</v>
      </c>
      <c r="C43">
        <v>2009</v>
      </c>
      <c r="D43" t="s">
        <v>2676</v>
      </c>
      <c r="E43" t="s">
        <v>2677</v>
      </c>
      <c r="F43" t="s">
        <v>2678</v>
      </c>
      <c r="G43" t="s">
        <v>2679</v>
      </c>
      <c r="H43" t="s">
        <v>99</v>
      </c>
      <c r="I43" t="s">
        <v>99</v>
      </c>
      <c r="J43" t="s">
        <v>2680</v>
      </c>
      <c r="K43" t="s">
        <v>615</v>
      </c>
      <c r="L43" s="13">
        <v>44887.363807870373</v>
      </c>
      <c r="M43" s="13">
        <v>44887.363807870373</v>
      </c>
      <c r="N43" s="13">
        <v>44886.598275462966</v>
      </c>
      <c r="O43" t="s">
        <v>2681</v>
      </c>
      <c r="P43" t="s">
        <v>99</v>
      </c>
      <c r="Q43" t="s">
        <v>4619</v>
      </c>
      <c r="R43" t="s">
        <v>99</v>
      </c>
      <c r="S43" t="s">
        <v>99</v>
      </c>
      <c r="T43" t="s">
        <v>1218</v>
      </c>
      <c r="U43" t="s">
        <v>133</v>
      </c>
      <c r="V43" t="s">
        <v>99</v>
      </c>
      <c r="W43" t="s">
        <v>4496</v>
      </c>
      <c r="X43" t="s">
        <v>2682</v>
      </c>
      <c r="Y43" t="s">
        <v>4620</v>
      </c>
      <c r="Z43" t="s">
        <v>99</v>
      </c>
    </row>
    <row r="44" spans="1:26">
      <c r="A44" t="s">
        <v>4621</v>
      </c>
      <c r="B44" t="s">
        <v>222</v>
      </c>
      <c r="C44">
        <v>2017</v>
      </c>
      <c r="D44" t="s">
        <v>2646</v>
      </c>
      <c r="E44" t="s">
        <v>2647</v>
      </c>
      <c r="F44" t="s">
        <v>2648</v>
      </c>
      <c r="G44" t="s">
        <v>2649</v>
      </c>
      <c r="H44" t="s">
        <v>99</v>
      </c>
      <c r="I44" t="s">
        <v>99</v>
      </c>
      <c r="J44" t="s">
        <v>2650</v>
      </c>
      <c r="K44" t="s">
        <v>156</v>
      </c>
      <c r="L44" s="13">
        <v>44887.363807870373</v>
      </c>
      <c r="M44" s="13">
        <v>44887.363807870373</v>
      </c>
      <c r="N44" s="13">
        <v>44886.598252314812</v>
      </c>
      <c r="O44" t="s">
        <v>2651</v>
      </c>
      <c r="P44" t="s">
        <v>99</v>
      </c>
      <c r="Q44" t="s">
        <v>4622</v>
      </c>
      <c r="R44" t="s">
        <v>99</v>
      </c>
      <c r="S44" t="s">
        <v>4623</v>
      </c>
      <c r="T44" t="s">
        <v>1226</v>
      </c>
      <c r="U44" t="s">
        <v>1227</v>
      </c>
      <c r="V44" t="s">
        <v>99</v>
      </c>
      <c r="W44" t="s">
        <v>4496</v>
      </c>
      <c r="X44" t="s">
        <v>2652</v>
      </c>
      <c r="Y44" t="s">
        <v>4624</v>
      </c>
      <c r="Z44" t="s">
        <v>99</v>
      </c>
    </row>
    <row r="45" spans="1:26">
      <c r="A45" t="s">
        <v>4625</v>
      </c>
      <c r="B45" t="s">
        <v>222</v>
      </c>
      <c r="C45">
        <v>2012</v>
      </c>
      <c r="D45" t="s">
        <v>2634</v>
      </c>
      <c r="E45" t="s">
        <v>2635</v>
      </c>
      <c r="F45" t="s">
        <v>2636</v>
      </c>
      <c r="G45" t="s">
        <v>2637</v>
      </c>
      <c r="H45" t="s">
        <v>99</v>
      </c>
      <c r="I45" t="s">
        <v>99</v>
      </c>
      <c r="J45" t="s">
        <v>2638</v>
      </c>
      <c r="K45" t="s">
        <v>351</v>
      </c>
      <c r="L45" s="13">
        <v>44887.363807870373</v>
      </c>
      <c r="M45" s="13">
        <v>44887.363807870373</v>
      </c>
      <c r="N45" s="13">
        <v>44886.598240740743</v>
      </c>
      <c r="O45" t="s">
        <v>2639</v>
      </c>
      <c r="P45" t="s">
        <v>99</v>
      </c>
      <c r="Q45" t="s">
        <v>4626</v>
      </c>
      <c r="R45" t="s">
        <v>99</v>
      </c>
      <c r="S45" t="s">
        <v>99</v>
      </c>
      <c r="T45" t="s">
        <v>1218</v>
      </c>
      <c r="U45" t="s">
        <v>133</v>
      </c>
      <c r="V45" t="s">
        <v>4495</v>
      </c>
      <c r="W45" t="s">
        <v>4496</v>
      </c>
      <c r="X45" t="s">
        <v>2640</v>
      </c>
      <c r="Y45" t="s">
        <v>4627</v>
      </c>
      <c r="Z45" t="s">
        <v>4535</v>
      </c>
    </row>
    <row r="46" spans="1:26">
      <c r="A46" t="s">
        <v>4628</v>
      </c>
      <c r="B46" t="s">
        <v>135</v>
      </c>
      <c r="C46">
        <v>2022</v>
      </c>
      <c r="D46" t="s">
        <v>2660</v>
      </c>
      <c r="E46" t="s">
        <v>2661</v>
      </c>
      <c r="F46" t="s">
        <v>2662</v>
      </c>
      <c r="G46" t="s">
        <v>99</v>
      </c>
      <c r="H46" t="s">
        <v>2663</v>
      </c>
      <c r="I46" t="s">
        <v>2664</v>
      </c>
      <c r="J46" t="s">
        <v>2665</v>
      </c>
      <c r="K46" t="s">
        <v>2666</v>
      </c>
      <c r="L46" s="13">
        <v>44887.363807870373</v>
      </c>
      <c r="M46" s="13">
        <v>44887.363807870373</v>
      </c>
      <c r="N46" s="13">
        <v>44886.598252314812</v>
      </c>
      <c r="O46" t="s">
        <v>2667</v>
      </c>
      <c r="P46" t="s">
        <v>2668</v>
      </c>
      <c r="Q46" t="s">
        <v>4629</v>
      </c>
      <c r="R46" t="s">
        <v>4630</v>
      </c>
      <c r="S46" t="s">
        <v>99</v>
      </c>
      <c r="T46" t="s">
        <v>99</v>
      </c>
      <c r="U46" t="s">
        <v>99</v>
      </c>
      <c r="V46" t="s">
        <v>4495</v>
      </c>
      <c r="W46" t="s">
        <v>4496</v>
      </c>
      <c r="X46" t="s">
        <v>99</v>
      </c>
      <c r="Y46" t="s">
        <v>99</v>
      </c>
      <c r="Z46" t="s">
        <v>99</v>
      </c>
    </row>
    <row r="47" spans="1:26">
      <c r="A47" t="s">
        <v>4631</v>
      </c>
      <c r="B47" t="s">
        <v>222</v>
      </c>
      <c r="C47">
        <v>2022</v>
      </c>
      <c r="D47" t="s">
        <v>2653</v>
      </c>
      <c r="E47" t="s">
        <v>2654</v>
      </c>
      <c r="F47" t="s">
        <v>2655</v>
      </c>
      <c r="G47" t="s">
        <v>2656</v>
      </c>
      <c r="H47" t="s">
        <v>99</v>
      </c>
      <c r="I47" t="s">
        <v>99</v>
      </c>
      <c r="J47" t="s">
        <v>2657</v>
      </c>
      <c r="K47" t="s">
        <v>123</v>
      </c>
      <c r="L47" s="13">
        <v>44887.363807870373</v>
      </c>
      <c r="M47" s="13">
        <v>44887.363807870373</v>
      </c>
      <c r="N47" s="13">
        <v>44886.598252314812</v>
      </c>
      <c r="O47" t="s">
        <v>2658</v>
      </c>
      <c r="P47" t="s">
        <v>99</v>
      </c>
      <c r="Q47" t="s">
        <v>4632</v>
      </c>
      <c r="R47" t="s">
        <v>99</v>
      </c>
      <c r="S47" t="s">
        <v>4633</v>
      </c>
      <c r="T47" t="s">
        <v>1226</v>
      </c>
      <c r="U47" t="s">
        <v>1227</v>
      </c>
      <c r="V47" t="s">
        <v>4495</v>
      </c>
      <c r="W47" t="s">
        <v>4496</v>
      </c>
      <c r="X47" t="s">
        <v>2659</v>
      </c>
      <c r="Y47" t="s">
        <v>4634</v>
      </c>
      <c r="Z47" t="s">
        <v>99</v>
      </c>
    </row>
    <row r="48" spans="1:26">
      <c r="A48" t="s">
        <v>4635</v>
      </c>
      <c r="B48" t="s">
        <v>135</v>
      </c>
      <c r="C48">
        <v>2018</v>
      </c>
      <c r="D48" t="s">
        <v>2641</v>
      </c>
      <c r="E48" t="s">
        <v>2642</v>
      </c>
      <c r="F48" t="s">
        <v>1336</v>
      </c>
      <c r="G48" t="s">
        <v>99</v>
      </c>
      <c r="H48" t="s">
        <v>1337</v>
      </c>
      <c r="I48" t="s">
        <v>2643</v>
      </c>
      <c r="J48" t="s">
        <v>2644</v>
      </c>
      <c r="K48" t="s">
        <v>361</v>
      </c>
      <c r="L48" s="13">
        <v>44887.363807870373</v>
      </c>
      <c r="M48" s="13">
        <v>44887.363807870373</v>
      </c>
      <c r="N48" s="13">
        <v>44886.598252314812</v>
      </c>
      <c r="O48" t="s">
        <v>2645</v>
      </c>
      <c r="P48" t="s">
        <v>363</v>
      </c>
      <c r="Q48" t="s">
        <v>4549</v>
      </c>
      <c r="R48" t="s">
        <v>4636</v>
      </c>
      <c r="S48" t="s">
        <v>99</v>
      </c>
      <c r="T48" t="s">
        <v>99</v>
      </c>
      <c r="U48" t="s">
        <v>99</v>
      </c>
      <c r="V48" t="s">
        <v>4495</v>
      </c>
      <c r="W48" t="s">
        <v>4496</v>
      </c>
      <c r="X48" t="s">
        <v>99</v>
      </c>
      <c r="Y48" t="s">
        <v>99</v>
      </c>
      <c r="Z48" t="s">
        <v>99</v>
      </c>
    </row>
    <row r="49" spans="1:26">
      <c r="A49" t="s">
        <v>4637</v>
      </c>
      <c r="B49" t="s">
        <v>222</v>
      </c>
      <c r="C49">
        <v>2012</v>
      </c>
      <c r="D49" t="s">
        <v>2627</v>
      </c>
      <c r="E49" t="s">
        <v>2628</v>
      </c>
      <c r="F49" t="s">
        <v>2629</v>
      </c>
      <c r="G49" t="s">
        <v>2630</v>
      </c>
      <c r="H49" t="s">
        <v>99</v>
      </c>
      <c r="I49" t="s">
        <v>99</v>
      </c>
      <c r="J49" t="s">
        <v>2631</v>
      </c>
      <c r="K49" t="s">
        <v>351</v>
      </c>
      <c r="L49" s="13">
        <v>44887.363807870373</v>
      </c>
      <c r="M49" s="13">
        <v>44887.363807870373</v>
      </c>
      <c r="N49" s="13">
        <v>44886.598229166666</v>
      </c>
      <c r="O49" t="s">
        <v>2632</v>
      </c>
      <c r="P49" t="s">
        <v>99</v>
      </c>
      <c r="Q49" t="s">
        <v>4638</v>
      </c>
      <c r="R49" t="s">
        <v>99</v>
      </c>
      <c r="S49" t="s">
        <v>99</v>
      </c>
      <c r="T49" t="s">
        <v>1218</v>
      </c>
      <c r="U49" t="s">
        <v>133</v>
      </c>
      <c r="V49" t="s">
        <v>99</v>
      </c>
      <c r="W49" t="s">
        <v>4496</v>
      </c>
      <c r="X49" t="s">
        <v>2633</v>
      </c>
      <c r="Y49" t="s">
        <v>4639</v>
      </c>
      <c r="Z49" t="s">
        <v>99</v>
      </c>
    </row>
    <row r="50" spans="1:26">
      <c r="A50" t="s">
        <v>4640</v>
      </c>
      <c r="B50" t="s">
        <v>222</v>
      </c>
      <c r="C50">
        <v>2020</v>
      </c>
      <c r="D50" t="s">
        <v>2620</v>
      </c>
      <c r="E50" t="s">
        <v>2621</v>
      </c>
      <c r="F50" t="s">
        <v>2622</v>
      </c>
      <c r="G50" t="s">
        <v>2623</v>
      </c>
      <c r="H50" t="s">
        <v>99</v>
      </c>
      <c r="I50" t="s">
        <v>99</v>
      </c>
      <c r="J50" t="s">
        <v>2624</v>
      </c>
      <c r="K50" t="s">
        <v>176</v>
      </c>
      <c r="L50" s="13">
        <v>44887.363807870373</v>
      </c>
      <c r="M50" s="13">
        <v>44887.363807870373</v>
      </c>
      <c r="N50" s="13">
        <v>44886.598229166666</v>
      </c>
      <c r="O50" t="s">
        <v>2625</v>
      </c>
      <c r="P50" t="s">
        <v>99</v>
      </c>
      <c r="Q50" t="s">
        <v>4641</v>
      </c>
      <c r="R50" t="s">
        <v>99</v>
      </c>
      <c r="S50" t="s">
        <v>99</v>
      </c>
      <c r="T50" t="s">
        <v>1226</v>
      </c>
      <c r="U50" t="s">
        <v>1227</v>
      </c>
      <c r="V50" t="s">
        <v>4495</v>
      </c>
      <c r="W50" t="s">
        <v>4496</v>
      </c>
      <c r="X50" t="s">
        <v>2626</v>
      </c>
      <c r="Y50" t="s">
        <v>4642</v>
      </c>
      <c r="Z50" t="s">
        <v>99</v>
      </c>
    </row>
    <row r="51" spans="1:26">
      <c r="A51" t="s">
        <v>4643</v>
      </c>
      <c r="B51" t="s">
        <v>135</v>
      </c>
      <c r="C51">
        <v>2022</v>
      </c>
      <c r="D51" t="s">
        <v>2615</v>
      </c>
      <c r="E51" t="s">
        <v>2616</v>
      </c>
      <c r="F51" t="s">
        <v>1265</v>
      </c>
      <c r="G51" t="s">
        <v>99</v>
      </c>
      <c r="H51" t="s">
        <v>1266</v>
      </c>
      <c r="I51" t="s">
        <v>2617</v>
      </c>
      <c r="J51" t="s">
        <v>2618</v>
      </c>
      <c r="K51" t="s">
        <v>2278</v>
      </c>
      <c r="L51" s="13">
        <v>44887.363807870373</v>
      </c>
      <c r="M51" s="13">
        <v>44887.363807870373</v>
      </c>
      <c r="N51" s="13">
        <v>44886.598240740743</v>
      </c>
      <c r="O51" t="s">
        <v>2619</v>
      </c>
      <c r="P51" t="s">
        <v>182</v>
      </c>
      <c r="Q51" t="s">
        <v>4512</v>
      </c>
      <c r="R51" t="s">
        <v>4513</v>
      </c>
      <c r="S51" t="s">
        <v>4644</v>
      </c>
      <c r="T51" t="s">
        <v>99</v>
      </c>
      <c r="U51" t="s">
        <v>99</v>
      </c>
      <c r="V51" t="s">
        <v>4495</v>
      </c>
      <c r="W51" t="s">
        <v>4496</v>
      </c>
      <c r="X51" t="s">
        <v>99</v>
      </c>
      <c r="Y51" t="s">
        <v>99</v>
      </c>
      <c r="Z51" t="s">
        <v>99</v>
      </c>
    </row>
    <row r="52" spans="1:26">
      <c r="A52" t="s">
        <v>4645</v>
      </c>
      <c r="B52" t="s">
        <v>222</v>
      </c>
      <c r="C52">
        <v>2011</v>
      </c>
      <c r="D52" t="s">
        <v>2601</v>
      </c>
      <c r="E52" t="s">
        <v>2602</v>
      </c>
      <c r="F52" t="s">
        <v>2603</v>
      </c>
      <c r="G52" t="s">
        <v>2604</v>
      </c>
      <c r="H52" t="s">
        <v>99</v>
      </c>
      <c r="I52" t="s">
        <v>99</v>
      </c>
      <c r="J52" t="s">
        <v>2605</v>
      </c>
      <c r="K52" t="s">
        <v>102</v>
      </c>
      <c r="L52" s="13">
        <v>44887.363807870373</v>
      </c>
      <c r="M52" s="13">
        <v>44887.363807870373</v>
      </c>
      <c r="N52" s="13">
        <v>44886.598229166666</v>
      </c>
      <c r="O52" t="s">
        <v>2606</v>
      </c>
      <c r="P52" t="s">
        <v>99</v>
      </c>
      <c r="Q52" t="s">
        <v>4646</v>
      </c>
      <c r="R52" t="s">
        <v>99</v>
      </c>
      <c r="S52" t="s">
        <v>99</v>
      </c>
      <c r="T52" t="s">
        <v>1218</v>
      </c>
      <c r="U52" t="s">
        <v>133</v>
      </c>
      <c r="V52" t="s">
        <v>4495</v>
      </c>
      <c r="W52" t="s">
        <v>4496</v>
      </c>
      <c r="X52" t="s">
        <v>2607</v>
      </c>
      <c r="Y52" t="s">
        <v>4647</v>
      </c>
      <c r="Z52" t="s">
        <v>99</v>
      </c>
    </row>
    <row r="53" spans="1:26">
      <c r="A53" t="s">
        <v>4648</v>
      </c>
      <c r="B53" t="s">
        <v>222</v>
      </c>
      <c r="C53">
        <v>2008</v>
      </c>
      <c r="D53" t="s">
        <v>2585</v>
      </c>
      <c r="E53" t="s">
        <v>2586</v>
      </c>
      <c r="F53" t="s">
        <v>2587</v>
      </c>
      <c r="G53" t="s">
        <v>2588</v>
      </c>
      <c r="H53" t="s">
        <v>99</v>
      </c>
      <c r="I53" t="s">
        <v>99</v>
      </c>
      <c r="J53" t="s">
        <v>2589</v>
      </c>
      <c r="K53" t="s">
        <v>736</v>
      </c>
      <c r="L53" s="13">
        <v>44887.363807870373</v>
      </c>
      <c r="M53" s="13">
        <v>44887.363807870373</v>
      </c>
      <c r="N53" s="13">
        <v>44886.59820601852</v>
      </c>
      <c r="O53" t="s">
        <v>2590</v>
      </c>
      <c r="P53" t="s">
        <v>99</v>
      </c>
      <c r="Q53" t="s">
        <v>4649</v>
      </c>
      <c r="R53" t="s">
        <v>99</v>
      </c>
      <c r="S53" t="s">
        <v>99</v>
      </c>
      <c r="T53" t="s">
        <v>1218</v>
      </c>
      <c r="U53" t="s">
        <v>133</v>
      </c>
      <c r="V53" t="s">
        <v>4495</v>
      </c>
      <c r="W53" t="s">
        <v>4496</v>
      </c>
      <c r="X53" t="s">
        <v>2591</v>
      </c>
      <c r="Y53" t="s">
        <v>4650</v>
      </c>
      <c r="Z53" t="s">
        <v>99</v>
      </c>
    </row>
    <row r="54" spans="1:26">
      <c r="A54" t="s">
        <v>4651</v>
      </c>
      <c r="B54" t="s">
        <v>222</v>
      </c>
      <c r="C54">
        <v>2013</v>
      </c>
      <c r="D54" t="s">
        <v>2608</v>
      </c>
      <c r="E54" t="s">
        <v>2609</v>
      </c>
      <c r="F54" t="s">
        <v>2610</v>
      </c>
      <c r="G54" t="s">
        <v>2611</v>
      </c>
      <c r="H54" t="s">
        <v>99</v>
      </c>
      <c r="I54" t="s">
        <v>99</v>
      </c>
      <c r="J54" t="s">
        <v>2612</v>
      </c>
      <c r="K54" t="s">
        <v>139</v>
      </c>
      <c r="L54" s="13">
        <v>44887.363807870373</v>
      </c>
      <c r="M54" s="13">
        <v>44887.363807870373</v>
      </c>
      <c r="N54" s="13">
        <v>44886.598229166666</v>
      </c>
      <c r="O54" t="s">
        <v>2613</v>
      </c>
      <c r="P54" t="s">
        <v>99</v>
      </c>
      <c r="Q54" t="s">
        <v>4652</v>
      </c>
      <c r="R54" t="s">
        <v>99</v>
      </c>
      <c r="S54" t="s">
        <v>99</v>
      </c>
      <c r="T54" t="s">
        <v>1218</v>
      </c>
      <c r="U54" t="s">
        <v>133</v>
      </c>
      <c r="V54" t="s">
        <v>99</v>
      </c>
      <c r="W54" t="s">
        <v>4496</v>
      </c>
      <c r="X54" t="s">
        <v>2614</v>
      </c>
      <c r="Y54" t="s">
        <v>4653</v>
      </c>
      <c r="Z54" t="s">
        <v>99</v>
      </c>
    </row>
    <row r="55" spans="1:26">
      <c r="A55" t="s">
        <v>4654</v>
      </c>
      <c r="B55" t="s">
        <v>706</v>
      </c>
      <c r="C55">
        <v>2017</v>
      </c>
      <c r="D55" t="s">
        <v>99</v>
      </c>
      <c r="E55" t="s">
        <v>1279</v>
      </c>
      <c r="F55" t="s">
        <v>99</v>
      </c>
      <c r="G55" t="s">
        <v>2478</v>
      </c>
      <c r="H55" t="s">
        <v>99</v>
      </c>
      <c r="I55" t="s">
        <v>99</v>
      </c>
      <c r="J55" t="s">
        <v>2599</v>
      </c>
      <c r="K55" t="s">
        <v>156</v>
      </c>
      <c r="L55" s="13">
        <v>44887.363807870373</v>
      </c>
      <c r="M55" s="13">
        <v>44887.363807870373</v>
      </c>
      <c r="N55" s="13">
        <v>44886.598217592589</v>
      </c>
      <c r="O55" t="s">
        <v>99</v>
      </c>
      <c r="P55" t="s">
        <v>99</v>
      </c>
      <c r="Q55" t="s">
        <v>4655</v>
      </c>
      <c r="R55" t="s">
        <v>99</v>
      </c>
      <c r="S55" t="s">
        <v>99</v>
      </c>
      <c r="T55" t="s">
        <v>1226</v>
      </c>
      <c r="U55" t="s">
        <v>1227</v>
      </c>
      <c r="V55" t="s">
        <v>99</v>
      </c>
      <c r="W55" t="s">
        <v>4496</v>
      </c>
      <c r="X55" t="s">
        <v>2600</v>
      </c>
      <c r="Y55" t="s">
        <v>4656</v>
      </c>
      <c r="Z55" t="s">
        <v>99</v>
      </c>
    </row>
    <row r="56" spans="1:26">
      <c r="A56" t="s">
        <v>4657</v>
      </c>
      <c r="B56" t="s">
        <v>222</v>
      </c>
      <c r="C56">
        <v>2018</v>
      </c>
      <c r="D56" t="s">
        <v>2592</v>
      </c>
      <c r="E56" t="s">
        <v>2593</v>
      </c>
      <c r="F56" t="s">
        <v>2594</v>
      </c>
      <c r="G56" t="s">
        <v>2595</v>
      </c>
      <c r="H56" t="s">
        <v>99</v>
      </c>
      <c r="I56" t="s">
        <v>99</v>
      </c>
      <c r="J56" t="s">
        <v>2596</v>
      </c>
      <c r="K56" t="s">
        <v>384</v>
      </c>
      <c r="L56" s="13">
        <v>44887.363807870373</v>
      </c>
      <c r="M56" s="13">
        <v>44887.363807870373</v>
      </c>
      <c r="N56" s="13">
        <v>44886.598217592589</v>
      </c>
      <c r="O56" t="s">
        <v>2597</v>
      </c>
      <c r="P56" t="s">
        <v>99</v>
      </c>
      <c r="Q56" t="s">
        <v>4658</v>
      </c>
      <c r="R56" t="s">
        <v>99</v>
      </c>
      <c r="S56" t="s">
        <v>4659</v>
      </c>
      <c r="T56" t="s">
        <v>1226</v>
      </c>
      <c r="U56" t="s">
        <v>1227</v>
      </c>
      <c r="V56" t="s">
        <v>4495</v>
      </c>
      <c r="W56" t="s">
        <v>4496</v>
      </c>
      <c r="X56" t="s">
        <v>2598</v>
      </c>
      <c r="Y56" t="s">
        <v>4660</v>
      </c>
      <c r="Z56" t="s">
        <v>99</v>
      </c>
    </row>
    <row r="57" spans="1:26">
      <c r="A57" t="s">
        <v>4661</v>
      </c>
      <c r="B57" t="s">
        <v>706</v>
      </c>
      <c r="C57">
        <v>2021</v>
      </c>
      <c r="D57" t="s">
        <v>99</v>
      </c>
      <c r="E57" t="s">
        <v>2582</v>
      </c>
      <c r="F57" t="s">
        <v>99</v>
      </c>
      <c r="G57" t="s">
        <v>1280</v>
      </c>
      <c r="H57" t="s">
        <v>99</v>
      </c>
      <c r="I57" t="s">
        <v>99</v>
      </c>
      <c r="J57" t="s">
        <v>2583</v>
      </c>
      <c r="K57" t="s">
        <v>113</v>
      </c>
      <c r="L57" s="13">
        <v>44887.363807870373</v>
      </c>
      <c r="M57" s="13">
        <v>44887.363807870373</v>
      </c>
      <c r="N57" s="13">
        <v>44886.598194444443</v>
      </c>
      <c r="O57" t="s">
        <v>99</v>
      </c>
      <c r="P57" t="s">
        <v>99</v>
      </c>
      <c r="Q57" t="s">
        <v>4662</v>
      </c>
      <c r="R57" t="s">
        <v>99</v>
      </c>
      <c r="S57" t="s">
        <v>1279</v>
      </c>
      <c r="T57" t="s">
        <v>1226</v>
      </c>
      <c r="U57" t="s">
        <v>1227</v>
      </c>
      <c r="V57" t="s">
        <v>4495</v>
      </c>
      <c r="W57" t="s">
        <v>4496</v>
      </c>
      <c r="X57" t="s">
        <v>2584</v>
      </c>
      <c r="Y57" t="s">
        <v>4663</v>
      </c>
      <c r="Z57" t="s">
        <v>99</v>
      </c>
    </row>
    <row r="58" spans="1:26">
      <c r="A58" t="s">
        <v>4664</v>
      </c>
      <c r="B58" t="s">
        <v>222</v>
      </c>
      <c r="C58">
        <v>2015</v>
      </c>
      <c r="D58" t="s">
        <v>2570</v>
      </c>
      <c r="E58" t="s">
        <v>2571</v>
      </c>
      <c r="F58" t="s">
        <v>2572</v>
      </c>
      <c r="G58" t="s">
        <v>2573</v>
      </c>
      <c r="H58" t="s">
        <v>99</v>
      </c>
      <c r="I58" t="s">
        <v>99</v>
      </c>
      <c r="J58" t="s">
        <v>2574</v>
      </c>
      <c r="K58" t="s">
        <v>564</v>
      </c>
      <c r="L58" s="13">
        <v>44887.363807870373</v>
      </c>
      <c r="M58" s="13">
        <v>44887.363807870373</v>
      </c>
      <c r="N58" s="13">
        <v>44886.598182870373</v>
      </c>
      <c r="O58" t="s">
        <v>2575</v>
      </c>
      <c r="P58" t="s">
        <v>99</v>
      </c>
      <c r="Q58" t="s">
        <v>4665</v>
      </c>
      <c r="R58" t="s">
        <v>99</v>
      </c>
      <c r="S58" t="s">
        <v>4666</v>
      </c>
      <c r="T58" t="s">
        <v>1226</v>
      </c>
      <c r="U58" t="s">
        <v>1227</v>
      </c>
      <c r="V58" t="s">
        <v>99</v>
      </c>
      <c r="W58" t="s">
        <v>4496</v>
      </c>
      <c r="X58" t="s">
        <v>2576</v>
      </c>
      <c r="Y58" t="s">
        <v>4667</v>
      </c>
      <c r="Z58" t="s">
        <v>99</v>
      </c>
    </row>
    <row r="59" spans="1:26">
      <c r="A59" t="s">
        <v>4668</v>
      </c>
      <c r="B59" t="s">
        <v>135</v>
      </c>
      <c r="C59">
        <v>2018</v>
      </c>
      <c r="D59" t="s">
        <v>2562</v>
      </c>
      <c r="E59" t="s">
        <v>2563</v>
      </c>
      <c r="F59" t="s">
        <v>2564</v>
      </c>
      <c r="G59" t="s">
        <v>99</v>
      </c>
      <c r="H59" t="s">
        <v>2565</v>
      </c>
      <c r="I59" t="s">
        <v>2566</v>
      </c>
      <c r="J59" t="s">
        <v>2567</v>
      </c>
      <c r="K59" t="s">
        <v>2568</v>
      </c>
      <c r="L59" s="13">
        <v>44887.363807870373</v>
      </c>
      <c r="M59" s="13">
        <v>44887.363807870373</v>
      </c>
      <c r="N59" s="13">
        <v>44886.598171296297</v>
      </c>
      <c r="O59" t="s">
        <v>2569</v>
      </c>
      <c r="P59" t="s">
        <v>500</v>
      </c>
      <c r="Q59" t="s">
        <v>4669</v>
      </c>
      <c r="R59" t="s">
        <v>4670</v>
      </c>
      <c r="S59" t="s">
        <v>99</v>
      </c>
      <c r="T59" t="s">
        <v>99</v>
      </c>
      <c r="U59" t="s">
        <v>99</v>
      </c>
      <c r="V59" t="s">
        <v>4495</v>
      </c>
      <c r="W59" t="s">
        <v>4496</v>
      </c>
      <c r="X59" t="s">
        <v>99</v>
      </c>
      <c r="Y59" t="s">
        <v>99</v>
      </c>
      <c r="Z59" t="s">
        <v>99</v>
      </c>
    </row>
    <row r="60" spans="1:26">
      <c r="A60" t="s">
        <v>4671</v>
      </c>
      <c r="B60" t="s">
        <v>222</v>
      </c>
      <c r="C60">
        <v>2019</v>
      </c>
      <c r="D60" t="s">
        <v>2555</v>
      </c>
      <c r="E60" t="s">
        <v>2556</v>
      </c>
      <c r="F60" t="s">
        <v>2557</v>
      </c>
      <c r="G60" t="s">
        <v>2558</v>
      </c>
      <c r="H60" t="s">
        <v>99</v>
      </c>
      <c r="I60" t="s">
        <v>99</v>
      </c>
      <c r="J60" t="s">
        <v>2559</v>
      </c>
      <c r="K60" t="s">
        <v>271</v>
      </c>
      <c r="L60" s="13">
        <v>44887.363807870373</v>
      </c>
      <c r="M60" s="13">
        <v>44887.363807870373</v>
      </c>
      <c r="N60" s="13">
        <v>44886.59815972222</v>
      </c>
      <c r="O60" t="s">
        <v>2560</v>
      </c>
      <c r="P60" t="s">
        <v>99</v>
      </c>
      <c r="Q60" t="s">
        <v>4672</v>
      </c>
      <c r="R60" t="s">
        <v>99</v>
      </c>
      <c r="S60" t="s">
        <v>4673</v>
      </c>
      <c r="T60" t="s">
        <v>1226</v>
      </c>
      <c r="U60" t="s">
        <v>1227</v>
      </c>
      <c r="V60" t="s">
        <v>4495</v>
      </c>
      <c r="W60" t="s">
        <v>4496</v>
      </c>
      <c r="X60" t="s">
        <v>2561</v>
      </c>
      <c r="Y60" t="s">
        <v>4674</v>
      </c>
      <c r="Z60" t="s">
        <v>99</v>
      </c>
    </row>
    <row r="61" spans="1:26">
      <c r="A61" t="s">
        <v>4675</v>
      </c>
      <c r="B61" t="s">
        <v>222</v>
      </c>
      <c r="C61">
        <v>2013</v>
      </c>
      <c r="D61" t="s">
        <v>2577</v>
      </c>
      <c r="E61" t="s">
        <v>2578</v>
      </c>
      <c r="F61" t="s">
        <v>1826</v>
      </c>
      <c r="G61" t="s">
        <v>2062</v>
      </c>
      <c r="H61" t="s">
        <v>99</v>
      </c>
      <c r="I61" t="s">
        <v>99</v>
      </c>
      <c r="J61" t="s">
        <v>2579</v>
      </c>
      <c r="K61" t="s">
        <v>139</v>
      </c>
      <c r="L61" s="13">
        <v>44887.363807870373</v>
      </c>
      <c r="M61" s="13">
        <v>44887.363807870373</v>
      </c>
      <c r="N61" s="13">
        <v>44886.598182870373</v>
      </c>
      <c r="O61" t="s">
        <v>2580</v>
      </c>
      <c r="P61" t="s">
        <v>99</v>
      </c>
      <c r="Q61" t="s">
        <v>4676</v>
      </c>
      <c r="R61" t="s">
        <v>99</v>
      </c>
      <c r="S61" t="s">
        <v>99</v>
      </c>
      <c r="T61" t="s">
        <v>1226</v>
      </c>
      <c r="U61" t="s">
        <v>1227</v>
      </c>
      <c r="V61" t="s">
        <v>99</v>
      </c>
      <c r="W61" t="s">
        <v>4496</v>
      </c>
      <c r="X61" t="s">
        <v>2581</v>
      </c>
      <c r="Y61" t="s">
        <v>4677</v>
      </c>
      <c r="Z61" t="s">
        <v>4568</v>
      </c>
    </row>
    <row r="62" spans="1:26">
      <c r="A62" t="s">
        <v>4678</v>
      </c>
      <c r="B62" t="s">
        <v>135</v>
      </c>
      <c r="C62">
        <v>2022</v>
      </c>
      <c r="D62" t="s">
        <v>2549</v>
      </c>
      <c r="E62" t="s">
        <v>2550</v>
      </c>
      <c r="F62" t="s">
        <v>1265</v>
      </c>
      <c r="G62" t="s">
        <v>99</v>
      </c>
      <c r="H62" t="s">
        <v>1266</v>
      </c>
      <c r="I62" t="s">
        <v>2551</v>
      </c>
      <c r="J62" t="s">
        <v>2552</v>
      </c>
      <c r="K62" t="s">
        <v>2553</v>
      </c>
      <c r="L62" s="13">
        <v>44887.363807870373</v>
      </c>
      <c r="M62" s="13">
        <v>44887.363807870373</v>
      </c>
      <c r="N62" s="13">
        <v>44886.59814814815</v>
      </c>
      <c r="O62" t="s">
        <v>2554</v>
      </c>
      <c r="P62" t="s">
        <v>363</v>
      </c>
      <c r="Q62" t="s">
        <v>4512</v>
      </c>
      <c r="R62" t="s">
        <v>4513</v>
      </c>
      <c r="S62" t="s">
        <v>99</v>
      </c>
      <c r="T62" t="s">
        <v>99</v>
      </c>
      <c r="U62" t="s">
        <v>99</v>
      </c>
      <c r="V62" t="s">
        <v>4495</v>
      </c>
      <c r="W62" t="s">
        <v>4496</v>
      </c>
      <c r="X62" t="s">
        <v>99</v>
      </c>
      <c r="Y62" t="s">
        <v>99</v>
      </c>
      <c r="Z62" t="s">
        <v>99</v>
      </c>
    </row>
    <row r="63" spans="1:26">
      <c r="A63" t="s">
        <v>4679</v>
      </c>
      <c r="B63" t="s">
        <v>222</v>
      </c>
      <c r="C63">
        <v>2007</v>
      </c>
      <c r="D63" t="s">
        <v>2542</v>
      </c>
      <c r="E63" t="s">
        <v>2543</v>
      </c>
      <c r="F63" t="s">
        <v>2544</v>
      </c>
      <c r="G63" t="s">
        <v>2545</v>
      </c>
      <c r="H63" t="s">
        <v>99</v>
      </c>
      <c r="I63" t="s">
        <v>99</v>
      </c>
      <c r="J63" t="s">
        <v>2546</v>
      </c>
      <c r="K63" t="s">
        <v>666</v>
      </c>
      <c r="L63" s="13">
        <v>44887.363807870373</v>
      </c>
      <c r="M63" s="13">
        <v>44887.363807870373</v>
      </c>
      <c r="N63" s="13">
        <v>44886.59814814815</v>
      </c>
      <c r="O63" t="s">
        <v>2547</v>
      </c>
      <c r="P63" t="s">
        <v>99</v>
      </c>
      <c r="Q63" t="s">
        <v>4680</v>
      </c>
      <c r="R63" t="s">
        <v>99</v>
      </c>
      <c r="S63" t="s">
        <v>99</v>
      </c>
      <c r="T63" t="s">
        <v>1218</v>
      </c>
      <c r="U63" t="s">
        <v>133</v>
      </c>
      <c r="V63" t="s">
        <v>99</v>
      </c>
      <c r="W63" t="s">
        <v>4496</v>
      </c>
      <c r="X63" t="s">
        <v>2548</v>
      </c>
      <c r="Y63" t="s">
        <v>4681</v>
      </c>
      <c r="Z63" t="s">
        <v>99</v>
      </c>
    </row>
    <row r="64" spans="1:26">
      <c r="A64" t="s">
        <v>4682</v>
      </c>
      <c r="B64" t="s">
        <v>222</v>
      </c>
      <c r="C64">
        <v>2011</v>
      </c>
      <c r="D64" t="s">
        <v>2535</v>
      </c>
      <c r="E64" t="s">
        <v>2536</v>
      </c>
      <c r="F64" t="s">
        <v>2537</v>
      </c>
      <c r="G64" t="s">
        <v>2538</v>
      </c>
      <c r="H64" t="s">
        <v>99</v>
      </c>
      <c r="I64" t="s">
        <v>99</v>
      </c>
      <c r="J64" t="s">
        <v>2539</v>
      </c>
      <c r="K64" t="s">
        <v>102</v>
      </c>
      <c r="L64" s="13">
        <v>44887.363807870373</v>
      </c>
      <c r="M64" s="13">
        <v>44887.363807870373</v>
      </c>
      <c r="N64" s="13">
        <v>44886.598136574074</v>
      </c>
      <c r="O64" t="s">
        <v>2540</v>
      </c>
      <c r="P64" t="s">
        <v>99</v>
      </c>
      <c r="Q64" t="s">
        <v>4683</v>
      </c>
      <c r="R64" t="s">
        <v>99</v>
      </c>
      <c r="S64" t="s">
        <v>99</v>
      </c>
      <c r="T64" t="s">
        <v>1218</v>
      </c>
      <c r="U64" t="s">
        <v>133</v>
      </c>
      <c r="V64" t="s">
        <v>99</v>
      </c>
      <c r="W64" t="s">
        <v>4496</v>
      </c>
      <c r="X64" t="s">
        <v>2541</v>
      </c>
      <c r="Y64" t="s">
        <v>4684</v>
      </c>
      <c r="Z64" t="s">
        <v>99</v>
      </c>
    </row>
    <row r="65" spans="1:26">
      <c r="A65" t="s">
        <v>4685</v>
      </c>
      <c r="B65" t="s">
        <v>222</v>
      </c>
      <c r="C65">
        <v>2021</v>
      </c>
      <c r="D65" t="s">
        <v>2528</v>
      </c>
      <c r="E65" t="s">
        <v>2529</v>
      </c>
      <c r="F65" t="s">
        <v>2530</v>
      </c>
      <c r="G65" t="s">
        <v>2531</v>
      </c>
      <c r="H65" t="s">
        <v>99</v>
      </c>
      <c r="I65" t="s">
        <v>99</v>
      </c>
      <c r="J65" t="s">
        <v>2532</v>
      </c>
      <c r="K65" t="s">
        <v>113</v>
      </c>
      <c r="L65" s="13">
        <v>44887.363807870373</v>
      </c>
      <c r="M65" s="13">
        <v>44887.363807870373</v>
      </c>
      <c r="N65" s="13">
        <v>44886.598124999997</v>
      </c>
      <c r="O65" t="s">
        <v>2533</v>
      </c>
      <c r="P65" t="s">
        <v>99</v>
      </c>
      <c r="Q65" t="s">
        <v>4686</v>
      </c>
      <c r="R65" t="s">
        <v>99</v>
      </c>
      <c r="S65" t="s">
        <v>4687</v>
      </c>
      <c r="T65" t="s">
        <v>1226</v>
      </c>
      <c r="U65" t="s">
        <v>1227</v>
      </c>
      <c r="V65" t="s">
        <v>4495</v>
      </c>
      <c r="W65" t="s">
        <v>4496</v>
      </c>
      <c r="X65" t="s">
        <v>2534</v>
      </c>
      <c r="Y65" t="s">
        <v>4688</v>
      </c>
      <c r="Z65" t="s">
        <v>99</v>
      </c>
    </row>
    <row r="66" spans="1:26">
      <c r="A66" t="s">
        <v>4689</v>
      </c>
      <c r="B66" t="s">
        <v>222</v>
      </c>
      <c r="C66">
        <v>2012</v>
      </c>
      <c r="D66" t="s">
        <v>2516</v>
      </c>
      <c r="E66" t="s">
        <v>2517</v>
      </c>
      <c r="F66" t="s">
        <v>1537</v>
      </c>
      <c r="G66" t="s">
        <v>1538</v>
      </c>
      <c r="H66" t="s">
        <v>99</v>
      </c>
      <c r="I66" t="s">
        <v>99</v>
      </c>
      <c r="J66" t="s">
        <v>2518</v>
      </c>
      <c r="K66" t="s">
        <v>351</v>
      </c>
      <c r="L66" s="13">
        <v>44887.363807870373</v>
      </c>
      <c r="M66" s="13">
        <v>44887.363807870373</v>
      </c>
      <c r="N66" s="13">
        <v>44886.598113425927</v>
      </c>
      <c r="O66" t="s">
        <v>2519</v>
      </c>
      <c r="P66" t="s">
        <v>99</v>
      </c>
      <c r="Q66" t="s">
        <v>4690</v>
      </c>
      <c r="R66" t="s">
        <v>99</v>
      </c>
      <c r="S66" t="s">
        <v>4691</v>
      </c>
      <c r="T66" t="s">
        <v>1218</v>
      </c>
      <c r="U66" t="s">
        <v>133</v>
      </c>
      <c r="V66" t="s">
        <v>99</v>
      </c>
      <c r="W66" t="s">
        <v>4496</v>
      </c>
      <c r="X66" t="s">
        <v>2520</v>
      </c>
      <c r="Y66" t="s">
        <v>4692</v>
      </c>
      <c r="Z66" t="s">
        <v>99</v>
      </c>
    </row>
    <row r="67" spans="1:26">
      <c r="A67" t="s">
        <v>4693</v>
      </c>
      <c r="B67" t="s">
        <v>222</v>
      </c>
      <c r="C67">
        <v>1999</v>
      </c>
      <c r="D67" t="s">
        <v>2496</v>
      </c>
      <c r="E67" t="s">
        <v>2497</v>
      </c>
      <c r="F67" t="s">
        <v>2498</v>
      </c>
      <c r="G67" t="s">
        <v>2499</v>
      </c>
      <c r="H67" t="s">
        <v>99</v>
      </c>
      <c r="I67" t="s">
        <v>99</v>
      </c>
      <c r="J67" t="s">
        <v>2500</v>
      </c>
      <c r="K67" t="s">
        <v>2501</v>
      </c>
      <c r="L67" s="13">
        <v>44887.363807870373</v>
      </c>
      <c r="M67" s="13">
        <v>44887.363807870373</v>
      </c>
      <c r="N67" s="13">
        <v>44886.598090277781</v>
      </c>
      <c r="O67" t="s">
        <v>2272</v>
      </c>
      <c r="P67" t="s">
        <v>99</v>
      </c>
      <c r="Q67" t="s">
        <v>4694</v>
      </c>
      <c r="R67" t="s">
        <v>99</v>
      </c>
      <c r="S67" t="s">
        <v>99</v>
      </c>
      <c r="T67" t="s">
        <v>1218</v>
      </c>
      <c r="U67" t="s">
        <v>133</v>
      </c>
      <c r="V67" t="s">
        <v>99</v>
      </c>
      <c r="W67" t="s">
        <v>4496</v>
      </c>
      <c r="X67" t="s">
        <v>2502</v>
      </c>
      <c r="Y67" t="s">
        <v>4695</v>
      </c>
      <c r="Z67" t="s">
        <v>4526</v>
      </c>
    </row>
    <row r="68" spans="1:26">
      <c r="A68" t="s">
        <v>4696</v>
      </c>
      <c r="B68" t="s">
        <v>222</v>
      </c>
      <c r="C68">
        <v>2016</v>
      </c>
      <c r="D68" t="s">
        <v>2489</v>
      </c>
      <c r="E68" t="s">
        <v>2490</v>
      </c>
      <c r="F68" t="s">
        <v>2491</v>
      </c>
      <c r="G68" t="s">
        <v>2492</v>
      </c>
      <c r="H68" t="s">
        <v>99</v>
      </c>
      <c r="I68" t="s">
        <v>99</v>
      </c>
      <c r="J68" t="s">
        <v>2493</v>
      </c>
      <c r="K68" t="s">
        <v>331</v>
      </c>
      <c r="L68" s="13">
        <v>44887.363807870373</v>
      </c>
      <c r="M68" s="13">
        <v>44887.363807870373</v>
      </c>
      <c r="N68" s="13">
        <v>44886.598090277781</v>
      </c>
      <c r="O68" t="s">
        <v>2494</v>
      </c>
      <c r="P68" t="s">
        <v>99</v>
      </c>
      <c r="Q68" t="s">
        <v>4697</v>
      </c>
      <c r="R68" t="s">
        <v>99</v>
      </c>
      <c r="S68" t="s">
        <v>99</v>
      </c>
      <c r="T68" t="s">
        <v>1226</v>
      </c>
      <c r="U68" t="s">
        <v>1227</v>
      </c>
      <c r="V68" t="s">
        <v>99</v>
      </c>
      <c r="W68" t="s">
        <v>4496</v>
      </c>
      <c r="X68" t="s">
        <v>2495</v>
      </c>
      <c r="Y68" t="s">
        <v>4698</v>
      </c>
      <c r="Z68" t="s">
        <v>99</v>
      </c>
    </row>
    <row r="69" spans="1:26">
      <c r="A69" t="s">
        <v>4699</v>
      </c>
      <c r="B69" t="s">
        <v>222</v>
      </c>
      <c r="C69">
        <v>2007</v>
      </c>
      <c r="D69" t="s">
        <v>2521</v>
      </c>
      <c r="E69" t="s">
        <v>2522</v>
      </c>
      <c r="F69" t="s">
        <v>2523</v>
      </c>
      <c r="G69" t="s">
        <v>2524</v>
      </c>
      <c r="H69" t="s">
        <v>99</v>
      </c>
      <c r="I69" t="s">
        <v>99</v>
      </c>
      <c r="J69" t="s">
        <v>2525</v>
      </c>
      <c r="K69" t="s">
        <v>666</v>
      </c>
      <c r="L69" s="13">
        <v>44887.363807870373</v>
      </c>
      <c r="M69" s="13">
        <v>44887.363807870373</v>
      </c>
      <c r="N69" s="13">
        <v>44886.598124999997</v>
      </c>
      <c r="O69" t="s">
        <v>2526</v>
      </c>
      <c r="P69" t="s">
        <v>99</v>
      </c>
      <c r="Q69" t="s">
        <v>99</v>
      </c>
      <c r="R69" t="s">
        <v>99</v>
      </c>
      <c r="S69" t="s">
        <v>4700</v>
      </c>
      <c r="T69" t="s">
        <v>1618</v>
      </c>
      <c r="U69" t="s">
        <v>1619</v>
      </c>
      <c r="V69" t="s">
        <v>4495</v>
      </c>
      <c r="W69" t="s">
        <v>4496</v>
      </c>
      <c r="X69" t="s">
        <v>2527</v>
      </c>
      <c r="Y69" t="s">
        <v>4701</v>
      </c>
      <c r="Z69" t="s">
        <v>99</v>
      </c>
    </row>
    <row r="70" spans="1:26">
      <c r="A70" t="s">
        <v>4702</v>
      </c>
      <c r="B70" t="s">
        <v>222</v>
      </c>
      <c r="C70">
        <v>2019</v>
      </c>
      <c r="D70" t="s">
        <v>1220</v>
      </c>
      <c r="E70" t="s">
        <v>2510</v>
      </c>
      <c r="F70" t="s">
        <v>2511</v>
      </c>
      <c r="G70" t="s">
        <v>2512</v>
      </c>
      <c r="H70" t="s">
        <v>99</v>
      </c>
      <c r="I70" t="s">
        <v>99</v>
      </c>
      <c r="J70" t="s">
        <v>2513</v>
      </c>
      <c r="K70" t="s">
        <v>271</v>
      </c>
      <c r="L70" s="13">
        <v>44887.363807870373</v>
      </c>
      <c r="M70" s="13">
        <v>44887.363807870373</v>
      </c>
      <c r="N70" s="13">
        <v>44886.598113425927</v>
      </c>
      <c r="O70" t="s">
        <v>2514</v>
      </c>
      <c r="P70" t="s">
        <v>99</v>
      </c>
      <c r="Q70" t="s">
        <v>4703</v>
      </c>
      <c r="R70" t="s">
        <v>99</v>
      </c>
      <c r="S70" t="s">
        <v>4704</v>
      </c>
      <c r="T70" t="s">
        <v>1226</v>
      </c>
      <c r="U70" t="s">
        <v>1227</v>
      </c>
      <c r="V70" t="s">
        <v>4495</v>
      </c>
      <c r="W70" t="s">
        <v>4496</v>
      </c>
      <c r="X70" t="s">
        <v>2515</v>
      </c>
      <c r="Y70" t="s">
        <v>4705</v>
      </c>
      <c r="Z70" t="s">
        <v>99</v>
      </c>
    </row>
    <row r="71" spans="1:26">
      <c r="A71" t="s">
        <v>4706</v>
      </c>
      <c r="B71" t="s">
        <v>222</v>
      </c>
      <c r="C71">
        <v>2008</v>
      </c>
      <c r="D71" t="s">
        <v>2503</v>
      </c>
      <c r="E71" t="s">
        <v>2504</v>
      </c>
      <c r="F71" t="s">
        <v>2505</v>
      </c>
      <c r="G71" t="s">
        <v>2506</v>
      </c>
      <c r="H71" t="s">
        <v>99</v>
      </c>
      <c r="I71" t="s">
        <v>99</v>
      </c>
      <c r="J71" t="s">
        <v>2507</v>
      </c>
      <c r="K71" t="s">
        <v>736</v>
      </c>
      <c r="L71" s="13">
        <v>44887.363807870373</v>
      </c>
      <c r="M71" s="13">
        <v>44887.363807870373</v>
      </c>
      <c r="N71" s="13">
        <v>44886.598101851851</v>
      </c>
      <c r="O71" t="s">
        <v>2508</v>
      </c>
      <c r="P71" t="s">
        <v>99</v>
      </c>
      <c r="Q71" t="s">
        <v>4707</v>
      </c>
      <c r="R71" t="s">
        <v>99</v>
      </c>
      <c r="S71" t="s">
        <v>99</v>
      </c>
      <c r="T71" t="s">
        <v>1218</v>
      </c>
      <c r="U71" t="s">
        <v>133</v>
      </c>
      <c r="V71" t="s">
        <v>99</v>
      </c>
      <c r="W71" t="s">
        <v>4496</v>
      </c>
      <c r="X71" t="s">
        <v>2509</v>
      </c>
      <c r="Y71" t="s">
        <v>4708</v>
      </c>
      <c r="Z71" t="s">
        <v>99</v>
      </c>
    </row>
    <row r="72" spans="1:26">
      <c r="A72" t="s">
        <v>4709</v>
      </c>
      <c r="B72" t="s">
        <v>222</v>
      </c>
      <c r="C72">
        <v>2016</v>
      </c>
      <c r="D72" t="s">
        <v>2482</v>
      </c>
      <c r="E72" t="s">
        <v>2483</v>
      </c>
      <c r="F72" t="s">
        <v>2484</v>
      </c>
      <c r="G72" t="s">
        <v>2485</v>
      </c>
      <c r="H72" t="s">
        <v>99</v>
      </c>
      <c r="I72" t="s">
        <v>99</v>
      </c>
      <c r="J72" t="s">
        <v>2486</v>
      </c>
      <c r="K72" t="s">
        <v>331</v>
      </c>
      <c r="L72" s="13">
        <v>44887.363807870373</v>
      </c>
      <c r="M72" s="13">
        <v>44887.363807870373</v>
      </c>
      <c r="N72" s="13">
        <v>44886.598090277781</v>
      </c>
      <c r="O72" t="s">
        <v>2487</v>
      </c>
      <c r="P72" t="s">
        <v>99</v>
      </c>
      <c r="Q72" t="s">
        <v>4710</v>
      </c>
      <c r="R72" t="s">
        <v>99</v>
      </c>
      <c r="S72" t="s">
        <v>99</v>
      </c>
      <c r="T72" t="s">
        <v>1226</v>
      </c>
      <c r="U72" t="s">
        <v>1227</v>
      </c>
      <c r="V72" t="s">
        <v>99</v>
      </c>
      <c r="W72" t="s">
        <v>4496</v>
      </c>
      <c r="X72" t="s">
        <v>2488</v>
      </c>
      <c r="Y72" t="s">
        <v>4711</v>
      </c>
      <c r="Z72" t="s">
        <v>99</v>
      </c>
    </row>
    <row r="73" spans="1:26">
      <c r="A73" t="s">
        <v>4712</v>
      </c>
      <c r="B73" t="s">
        <v>222</v>
      </c>
      <c r="C73">
        <v>2017</v>
      </c>
      <c r="D73" t="s">
        <v>2476</v>
      </c>
      <c r="E73" t="s">
        <v>2477</v>
      </c>
      <c r="F73" t="s">
        <v>1279</v>
      </c>
      <c r="G73" t="s">
        <v>2478</v>
      </c>
      <c r="H73" t="s">
        <v>99</v>
      </c>
      <c r="I73" t="s">
        <v>99</v>
      </c>
      <c r="J73" t="s">
        <v>2479</v>
      </c>
      <c r="K73" t="s">
        <v>156</v>
      </c>
      <c r="L73" s="13">
        <v>44887.363807870373</v>
      </c>
      <c r="M73" s="13">
        <v>44887.363807870373</v>
      </c>
      <c r="N73" s="13">
        <v>44886.598055555558</v>
      </c>
      <c r="O73" t="s">
        <v>2480</v>
      </c>
      <c r="P73" t="s">
        <v>99</v>
      </c>
      <c r="Q73" t="s">
        <v>4655</v>
      </c>
      <c r="R73" t="s">
        <v>99</v>
      </c>
      <c r="S73" t="s">
        <v>99</v>
      </c>
      <c r="T73" t="s">
        <v>1226</v>
      </c>
      <c r="U73" t="s">
        <v>1227</v>
      </c>
      <c r="V73" t="s">
        <v>99</v>
      </c>
      <c r="W73" t="s">
        <v>4496</v>
      </c>
      <c r="X73" t="s">
        <v>2481</v>
      </c>
      <c r="Y73" t="s">
        <v>4656</v>
      </c>
      <c r="Z73" t="s">
        <v>99</v>
      </c>
    </row>
    <row r="74" spans="1:26">
      <c r="A74" t="s">
        <v>4713</v>
      </c>
      <c r="B74" t="s">
        <v>222</v>
      </c>
      <c r="C74">
        <v>2015</v>
      </c>
      <c r="D74" t="s">
        <v>2469</v>
      </c>
      <c r="E74" t="s">
        <v>2470</v>
      </c>
      <c r="F74" t="s">
        <v>2471</v>
      </c>
      <c r="G74" t="s">
        <v>2472</v>
      </c>
      <c r="H74" t="s">
        <v>99</v>
      </c>
      <c r="I74" t="s">
        <v>99</v>
      </c>
      <c r="J74" t="s">
        <v>2473</v>
      </c>
      <c r="K74" t="s">
        <v>564</v>
      </c>
      <c r="L74" s="13">
        <v>44887.363807870373</v>
      </c>
      <c r="M74" s="13">
        <v>44887.363807870373</v>
      </c>
      <c r="N74" s="13">
        <v>44886.598055555558</v>
      </c>
      <c r="O74" t="s">
        <v>2474</v>
      </c>
      <c r="P74" t="s">
        <v>99</v>
      </c>
      <c r="Q74" t="s">
        <v>4714</v>
      </c>
      <c r="R74" t="s">
        <v>99</v>
      </c>
      <c r="S74" t="s">
        <v>99</v>
      </c>
      <c r="T74" t="s">
        <v>1226</v>
      </c>
      <c r="U74" t="s">
        <v>1227</v>
      </c>
      <c r="V74" t="s">
        <v>99</v>
      </c>
      <c r="W74" t="s">
        <v>4496</v>
      </c>
      <c r="X74" t="s">
        <v>2475</v>
      </c>
      <c r="Y74" t="s">
        <v>4715</v>
      </c>
      <c r="Z74" t="s">
        <v>99</v>
      </c>
    </row>
    <row r="75" spans="1:26">
      <c r="A75" t="s">
        <v>4716</v>
      </c>
      <c r="B75" t="s">
        <v>222</v>
      </c>
      <c r="C75">
        <v>2013</v>
      </c>
      <c r="D75" t="s">
        <v>2456</v>
      </c>
      <c r="E75" t="s">
        <v>2457</v>
      </c>
      <c r="F75" t="s">
        <v>2458</v>
      </c>
      <c r="G75" t="s">
        <v>2459</v>
      </c>
      <c r="H75" t="s">
        <v>99</v>
      </c>
      <c r="I75" t="s">
        <v>99</v>
      </c>
      <c r="J75" t="s">
        <v>2460</v>
      </c>
      <c r="K75" t="s">
        <v>139</v>
      </c>
      <c r="L75" s="13">
        <v>44887.363807870373</v>
      </c>
      <c r="M75" s="13">
        <v>44887.363807870373</v>
      </c>
      <c r="N75" s="13">
        <v>44886.597951388889</v>
      </c>
      <c r="O75" t="s">
        <v>2461</v>
      </c>
      <c r="P75" t="s">
        <v>99</v>
      </c>
      <c r="Q75" t="s">
        <v>4717</v>
      </c>
      <c r="R75" t="s">
        <v>99</v>
      </c>
      <c r="S75" t="s">
        <v>99</v>
      </c>
      <c r="T75" t="s">
        <v>1218</v>
      </c>
      <c r="U75" t="s">
        <v>133</v>
      </c>
      <c r="V75" t="s">
        <v>4495</v>
      </c>
      <c r="W75" t="s">
        <v>4496</v>
      </c>
      <c r="X75" t="s">
        <v>2462</v>
      </c>
      <c r="Y75" t="s">
        <v>4718</v>
      </c>
      <c r="Z75" t="s">
        <v>4568</v>
      </c>
    </row>
    <row r="76" spans="1:26">
      <c r="A76" t="s">
        <v>4719</v>
      </c>
      <c r="B76" t="s">
        <v>222</v>
      </c>
      <c r="C76">
        <v>2020</v>
      </c>
      <c r="D76" t="s">
        <v>2449</v>
      </c>
      <c r="E76" t="s">
        <v>2450</v>
      </c>
      <c r="F76" t="s">
        <v>2451</v>
      </c>
      <c r="G76" t="s">
        <v>2452</v>
      </c>
      <c r="H76" t="s">
        <v>99</v>
      </c>
      <c r="I76" t="s">
        <v>99</v>
      </c>
      <c r="J76" t="s">
        <v>2453</v>
      </c>
      <c r="K76" t="s">
        <v>176</v>
      </c>
      <c r="L76" s="13">
        <v>44887.363807870373</v>
      </c>
      <c r="M76" s="13">
        <v>44887.363807870373</v>
      </c>
      <c r="N76" s="13">
        <v>44886.597962962966</v>
      </c>
      <c r="O76" t="s">
        <v>2454</v>
      </c>
      <c r="P76" t="s">
        <v>99</v>
      </c>
      <c r="Q76" t="s">
        <v>4720</v>
      </c>
      <c r="R76" t="s">
        <v>99</v>
      </c>
      <c r="S76" t="s">
        <v>99</v>
      </c>
      <c r="T76" t="s">
        <v>1226</v>
      </c>
      <c r="U76" t="s">
        <v>1227</v>
      </c>
      <c r="V76" t="s">
        <v>4495</v>
      </c>
      <c r="W76" t="s">
        <v>4496</v>
      </c>
      <c r="X76" t="s">
        <v>2455</v>
      </c>
      <c r="Y76" t="s">
        <v>4721</v>
      </c>
      <c r="Z76" t="s">
        <v>99</v>
      </c>
    </row>
    <row r="77" spans="1:26">
      <c r="A77" t="s">
        <v>4722</v>
      </c>
      <c r="B77" t="s">
        <v>222</v>
      </c>
      <c r="C77">
        <v>2013</v>
      </c>
      <c r="D77" t="s">
        <v>2438</v>
      </c>
      <c r="E77" t="s">
        <v>2439</v>
      </c>
      <c r="F77" t="s">
        <v>1381</v>
      </c>
      <c r="G77" t="s">
        <v>1382</v>
      </c>
      <c r="H77" t="s">
        <v>99</v>
      </c>
      <c r="I77" t="s">
        <v>99</v>
      </c>
      <c r="J77" t="s">
        <v>2440</v>
      </c>
      <c r="K77" t="s">
        <v>139</v>
      </c>
      <c r="L77" s="13">
        <v>44887.363807870373</v>
      </c>
      <c r="M77" s="13">
        <v>44887.363807870373</v>
      </c>
      <c r="N77" s="13">
        <v>44886.597974537035</v>
      </c>
      <c r="O77" t="s">
        <v>2441</v>
      </c>
      <c r="P77" t="s">
        <v>99</v>
      </c>
      <c r="Q77" t="s">
        <v>99</v>
      </c>
      <c r="R77" t="s">
        <v>99</v>
      </c>
      <c r="S77" t="s">
        <v>99</v>
      </c>
      <c r="T77" t="s">
        <v>1385</v>
      </c>
      <c r="U77" t="s">
        <v>1386</v>
      </c>
      <c r="V77" t="s">
        <v>4723</v>
      </c>
      <c r="W77" t="s">
        <v>4496</v>
      </c>
      <c r="X77" t="s">
        <v>2442</v>
      </c>
      <c r="Y77" t="s">
        <v>99</v>
      </c>
      <c r="Z77" t="s">
        <v>99</v>
      </c>
    </row>
    <row r="78" spans="1:26">
      <c r="A78" t="s">
        <v>4724</v>
      </c>
      <c r="B78" t="s">
        <v>222</v>
      </c>
      <c r="C78">
        <v>2018</v>
      </c>
      <c r="D78" t="s">
        <v>2463</v>
      </c>
      <c r="E78" t="s">
        <v>2464</v>
      </c>
      <c r="F78" t="s">
        <v>1848</v>
      </c>
      <c r="G78" t="s">
        <v>2465</v>
      </c>
      <c r="H78" t="s">
        <v>99</v>
      </c>
      <c r="I78" t="s">
        <v>99</v>
      </c>
      <c r="J78" t="s">
        <v>2466</v>
      </c>
      <c r="K78" t="s">
        <v>384</v>
      </c>
      <c r="L78" s="13">
        <v>44887.363807870373</v>
      </c>
      <c r="M78" s="13">
        <v>44887.363807870373</v>
      </c>
      <c r="N78" s="13">
        <v>44886.598032407404</v>
      </c>
      <c r="O78" t="s">
        <v>2467</v>
      </c>
      <c r="P78" t="s">
        <v>99</v>
      </c>
      <c r="Q78" t="s">
        <v>4725</v>
      </c>
      <c r="R78" t="s">
        <v>99</v>
      </c>
      <c r="S78" t="s">
        <v>4726</v>
      </c>
      <c r="T78" t="s">
        <v>1226</v>
      </c>
      <c r="U78" t="s">
        <v>1227</v>
      </c>
      <c r="V78" t="s">
        <v>99</v>
      </c>
      <c r="W78" t="s">
        <v>4496</v>
      </c>
      <c r="X78" t="s">
        <v>2468</v>
      </c>
      <c r="Y78" t="s">
        <v>4727</v>
      </c>
      <c r="Z78" t="s">
        <v>99</v>
      </c>
    </row>
    <row r="79" spans="1:26">
      <c r="A79" t="s">
        <v>4728</v>
      </c>
      <c r="B79" t="s">
        <v>135</v>
      </c>
      <c r="C79">
        <v>2017</v>
      </c>
      <c r="D79" t="s">
        <v>2443</v>
      </c>
      <c r="E79" t="s">
        <v>2444</v>
      </c>
      <c r="F79" t="s">
        <v>1336</v>
      </c>
      <c r="G79" t="s">
        <v>99</v>
      </c>
      <c r="H79" t="s">
        <v>1337</v>
      </c>
      <c r="I79" t="s">
        <v>2445</v>
      </c>
      <c r="J79" t="s">
        <v>2446</v>
      </c>
      <c r="K79" t="s">
        <v>2447</v>
      </c>
      <c r="L79" s="13">
        <v>44887.363807870373</v>
      </c>
      <c r="M79" s="13">
        <v>44887.363807870373</v>
      </c>
      <c r="N79" s="13">
        <v>44886.597974537035</v>
      </c>
      <c r="O79" t="s">
        <v>2448</v>
      </c>
      <c r="P79" t="s">
        <v>363</v>
      </c>
      <c r="Q79" t="s">
        <v>4585</v>
      </c>
      <c r="R79" t="s">
        <v>4636</v>
      </c>
      <c r="S79" t="s">
        <v>4729</v>
      </c>
      <c r="T79" t="s">
        <v>99</v>
      </c>
      <c r="U79" t="s">
        <v>99</v>
      </c>
      <c r="V79" t="s">
        <v>4495</v>
      </c>
      <c r="W79" t="s">
        <v>4496</v>
      </c>
      <c r="X79" t="s">
        <v>99</v>
      </c>
      <c r="Y79" t="s">
        <v>99</v>
      </c>
      <c r="Z79" t="s">
        <v>99</v>
      </c>
    </row>
    <row r="80" spans="1:26">
      <c r="A80" t="s">
        <v>4730</v>
      </c>
      <c r="B80" t="s">
        <v>222</v>
      </c>
      <c r="C80">
        <v>2005</v>
      </c>
      <c r="D80" t="s">
        <v>99</v>
      </c>
      <c r="E80" t="s">
        <v>2431</v>
      </c>
      <c r="F80" t="s">
        <v>2432</v>
      </c>
      <c r="G80" t="s">
        <v>2433</v>
      </c>
      <c r="H80" t="s">
        <v>99</v>
      </c>
      <c r="I80" t="s">
        <v>99</v>
      </c>
      <c r="J80" t="s">
        <v>2434</v>
      </c>
      <c r="K80" t="s">
        <v>846</v>
      </c>
      <c r="L80" s="13">
        <v>44887.363807870373</v>
      </c>
      <c r="M80" s="13">
        <v>44887.363807870373</v>
      </c>
      <c r="N80" s="13">
        <v>44886.597974537035</v>
      </c>
      <c r="O80" t="s">
        <v>2435</v>
      </c>
      <c r="P80" t="s">
        <v>99</v>
      </c>
      <c r="Q80" t="s">
        <v>99</v>
      </c>
      <c r="R80" t="s">
        <v>99</v>
      </c>
      <c r="S80" t="s">
        <v>99</v>
      </c>
      <c r="T80" t="s">
        <v>132</v>
      </c>
      <c r="U80" t="s">
        <v>2436</v>
      </c>
      <c r="V80" t="s">
        <v>4723</v>
      </c>
      <c r="W80" t="s">
        <v>4496</v>
      </c>
      <c r="X80" t="s">
        <v>2437</v>
      </c>
      <c r="Y80" t="s">
        <v>99</v>
      </c>
      <c r="Z80" t="s">
        <v>99</v>
      </c>
    </row>
    <row r="81" spans="1:26">
      <c r="A81" t="s">
        <v>4731</v>
      </c>
      <c r="B81" t="s">
        <v>222</v>
      </c>
      <c r="C81">
        <v>2022</v>
      </c>
      <c r="D81" t="s">
        <v>2419</v>
      </c>
      <c r="E81" t="s">
        <v>2420</v>
      </c>
      <c r="F81" t="s">
        <v>2269</v>
      </c>
      <c r="G81" t="s">
        <v>2421</v>
      </c>
      <c r="H81" t="s">
        <v>99</v>
      </c>
      <c r="I81" t="s">
        <v>99</v>
      </c>
      <c r="J81" t="s">
        <v>2422</v>
      </c>
      <c r="K81" t="s">
        <v>123</v>
      </c>
      <c r="L81" s="13">
        <v>44887.363807870373</v>
      </c>
      <c r="M81" s="13">
        <v>44887.363807870373</v>
      </c>
      <c r="N81" s="13">
        <v>44886.597951388889</v>
      </c>
      <c r="O81" t="s">
        <v>2423</v>
      </c>
      <c r="P81" t="s">
        <v>99</v>
      </c>
      <c r="Q81" t="s">
        <v>4732</v>
      </c>
      <c r="R81" t="s">
        <v>99</v>
      </c>
      <c r="S81" t="s">
        <v>4733</v>
      </c>
      <c r="T81" t="s">
        <v>1226</v>
      </c>
      <c r="U81" t="s">
        <v>1227</v>
      </c>
      <c r="V81" t="s">
        <v>4495</v>
      </c>
      <c r="W81" t="s">
        <v>4496</v>
      </c>
      <c r="X81" t="s">
        <v>2424</v>
      </c>
      <c r="Y81" t="s">
        <v>4734</v>
      </c>
      <c r="Z81" t="s">
        <v>99</v>
      </c>
    </row>
    <row r="82" spans="1:26">
      <c r="A82" t="s">
        <v>4735</v>
      </c>
      <c r="B82" t="s">
        <v>135</v>
      </c>
      <c r="C82">
        <v>2009</v>
      </c>
      <c r="D82" t="s">
        <v>2407</v>
      </c>
      <c r="E82" t="s">
        <v>2408</v>
      </c>
      <c r="F82" t="s">
        <v>1687</v>
      </c>
      <c r="G82" t="s">
        <v>99</v>
      </c>
      <c r="H82" t="s">
        <v>1688</v>
      </c>
      <c r="I82" t="s">
        <v>2409</v>
      </c>
      <c r="J82" t="s">
        <v>2410</v>
      </c>
      <c r="K82" t="s">
        <v>1691</v>
      </c>
      <c r="L82" s="13">
        <v>44887.363807870373</v>
      </c>
      <c r="M82" s="13">
        <v>44887.363807870373</v>
      </c>
      <c r="N82" s="13">
        <v>44886.597974537035</v>
      </c>
      <c r="O82" t="s">
        <v>2411</v>
      </c>
      <c r="P82" t="s">
        <v>182</v>
      </c>
      <c r="Q82" t="s">
        <v>941</v>
      </c>
      <c r="R82" t="s">
        <v>4736</v>
      </c>
      <c r="S82" t="s">
        <v>99</v>
      </c>
      <c r="T82" t="s">
        <v>99</v>
      </c>
      <c r="U82" t="s">
        <v>99</v>
      </c>
      <c r="V82" t="s">
        <v>4495</v>
      </c>
      <c r="W82" t="s">
        <v>4496</v>
      </c>
      <c r="X82" t="s">
        <v>99</v>
      </c>
      <c r="Y82" t="s">
        <v>99</v>
      </c>
      <c r="Z82" t="s">
        <v>99</v>
      </c>
    </row>
    <row r="83" spans="1:26">
      <c r="A83" t="s">
        <v>4737</v>
      </c>
      <c r="B83" t="s">
        <v>222</v>
      </c>
      <c r="C83">
        <v>2011</v>
      </c>
      <c r="D83" t="s">
        <v>2425</v>
      </c>
      <c r="E83" t="s">
        <v>2426</v>
      </c>
      <c r="F83" t="s">
        <v>1718</v>
      </c>
      <c r="G83" t="s">
        <v>2427</v>
      </c>
      <c r="H83" t="s">
        <v>99</v>
      </c>
      <c r="I83" t="s">
        <v>99</v>
      </c>
      <c r="J83" t="s">
        <v>2428</v>
      </c>
      <c r="K83" t="s">
        <v>102</v>
      </c>
      <c r="L83" s="13">
        <v>44887.363807870373</v>
      </c>
      <c r="M83" s="13">
        <v>44887.363807870373</v>
      </c>
      <c r="N83" s="13">
        <v>44886.597951388889</v>
      </c>
      <c r="O83" t="s">
        <v>2429</v>
      </c>
      <c r="P83" t="s">
        <v>99</v>
      </c>
      <c r="Q83" t="s">
        <v>4738</v>
      </c>
      <c r="R83" t="s">
        <v>99</v>
      </c>
      <c r="S83" t="s">
        <v>99</v>
      </c>
      <c r="T83" t="s">
        <v>1218</v>
      </c>
      <c r="U83" t="s">
        <v>133</v>
      </c>
      <c r="V83" t="s">
        <v>4495</v>
      </c>
      <c r="W83" t="s">
        <v>4496</v>
      </c>
      <c r="X83" t="s">
        <v>2430</v>
      </c>
      <c r="Y83" t="s">
        <v>4739</v>
      </c>
      <c r="Z83" t="s">
        <v>99</v>
      </c>
    </row>
    <row r="84" spans="1:26">
      <c r="A84" t="s">
        <v>4740</v>
      </c>
      <c r="B84" t="s">
        <v>222</v>
      </c>
      <c r="C84">
        <v>2021</v>
      </c>
      <c r="D84" t="s">
        <v>2412</v>
      </c>
      <c r="E84" t="s">
        <v>2413</v>
      </c>
      <c r="F84" t="s">
        <v>2414</v>
      </c>
      <c r="G84" t="s">
        <v>2415</v>
      </c>
      <c r="H84" t="s">
        <v>99</v>
      </c>
      <c r="I84" t="s">
        <v>99</v>
      </c>
      <c r="J84" t="s">
        <v>2416</v>
      </c>
      <c r="K84" t="s">
        <v>113</v>
      </c>
      <c r="L84" s="13">
        <v>44887.363807870373</v>
      </c>
      <c r="M84" s="13">
        <v>44887.363807870373</v>
      </c>
      <c r="N84" s="13">
        <v>44886.597951388889</v>
      </c>
      <c r="O84" t="s">
        <v>2417</v>
      </c>
      <c r="P84" t="s">
        <v>99</v>
      </c>
      <c r="Q84" t="s">
        <v>4741</v>
      </c>
      <c r="R84" t="s">
        <v>99</v>
      </c>
      <c r="S84" t="s">
        <v>99</v>
      </c>
      <c r="T84" t="s">
        <v>1362</v>
      </c>
      <c r="U84" t="s">
        <v>1363</v>
      </c>
      <c r="V84" t="s">
        <v>4495</v>
      </c>
      <c r="W84" t="s">
        <v>4496</v>
      </c>
      <c r="X84" t="s">
        <v>2418</v>
      </c>
      <c r="Y84" t="s">
        <v>4742</v>
      </c>
      <c r="Z84" t="s">
        <v>99</v>
      </c>
    </row>
    <row r="85" spans="1:26">
      <c r="A85" t="s">
        <v>4743</v>
      </c>
      <c r="B85" t="s">
        <v>222</v>
      </c>
      <c r="C85">
        <v>2012</v>
      </c>
      <c r="D85" t="s">
        <v>2400</v>
      </c>
      <c r="E85" t="s">
        <v>2401</v>
      </c>
      <c r="F85" t="s">
        <v>2402</v>
      </c>
      <c r="G85" t="s">
        <v>2403</v>
      </c>
      <c r="H85" t="s">
        <v>99</v>
      </c>
      <c r="I85" t="s">
        <v>99</v>
      </c>
      <c r="J85" t="s">
        <v>2404</v>
      </c>
      <c r="K85" t="s">
        <v>351</v>
      </c>
      <c r="L85" s="13">
        <v>44887.363807870373</v>
      </c>
      <c r="M85" s="13">
        <v>44887.363807870373</v>
      </c>
      <c r="N85" s="13">
        <v>44886.597986111112</v>
      </c>
      <c r="O85" t="s">
        <v>2405</v>
      </c>
      <c r="P85" t="s">
        <v>99</v>
      </c>
      <c r="Q85" t="s">
        <v>4744</v>
      </c>
      <c r="R85" t="s">
        <v>99</v>
      </c>
      <c r="S85" t="s">
        <v>4745</v>
      </c>
      <c r="T85" t="s">
        <v>1218</v>
      </c>
      <c r="U85" t="s">
        <v>133</v>
      </c>
      <c r="V85" t="s">
        <v>99</v>
      </c>
      <c r="W85" t="s">
        <v>4496</v>
      </c>
      <c r="X85" t="s">
        <v>2406</v>
      </c>
      <c r="Y85" t="s">
        <v>4746</v>
      </c>
      <c r="Z85" t="s">
        <v>99</v>
      </c>
    </row>
    <row r="86" spans="1:26">
      <c r="A86" t="s">
        <v>4747</v>
      </c>
      <c r="B86" t="s">
        <v>135</v>
      </c>
      <c r="C86">
        <v>2014</v>
      </c>
      <c r="D86" t="s">
        <v>2393</v>
      </c>
      <c r="E86" t="s">
        <v>2394</v>
      </c>
      <c r="F86" t="s">
        <v>2395</v>
      </c>
      <c r="G86" t="s">
        <v>99</v>
      </c>
      <c r="H86" t="s">
        <v>2396</v>
      </c>
      <c r="I86" t="s">
        <v>2397</v>
      </c>
      <c r="J86" t="s">
        <v>2398</v>
      </c>
      <c r="K86" t="s">
        <v>2399</v>
      </c>
      <c r="L86" s="13">
        <v>44887.363807870373</v>
      </c>
      <c r="M86" s="13">
        <v>44887.363807870373</v>
      </c>
      <c r="N86" s="13">
        <v>44886.597986111112</v>
      </c>
      <c r="O86" t="s">
        <v>99</v>
      </c>
      <c r="P86" t="s">
        <v>363</v>
      </c>
      <c r="Q86" t="s">
        <v>363</v>
      </c>
      <c r="R86" t="s">
        <v>99</v>
      </c>
      <c r="S86" t="s">
        <v>99</v>
      </c>
      <c r="T86" t="s">
        <v>99</v>
      </c>
      <c r="U86" t="s">
        <v>99</v>
      </c>
      <c r="V86" t="s">
        <v>99</v>
      </c>
      <c r="W86" t="s">
        <v>4496</v>
      </c>
      <c r="X86" t="s">
        <v>99</v>
      </c>
      <c r="Y86" t="s">
        <v>99</v>
      </c>
      <c r="Z86" t="s">
        <v>99</v>
      </c>
    </row>
    <row r="87" spans="1:26">
      <c r="A87" t="s">
        <v>4748</v>
      </c>
      <c r="B87" t="s">
        <v>135</v>
      </c>
      <c r="C87">
        <v>2020</v>
      </c>
      <c r="D87" t="s">
        <v>2385</v>
      </c>
      <c r="E87" t="s">
        <v>2386</v>
      </c>
      <c r="F87" t="s">
        <v>2387</v>
      </c>
      <c r="G87" t="s">
        <v>99</v>
      </c>
      <c r="H87" t="s">
        <v>2388</v>
      </c>
      <c r="I87" t="s">
        <v>2389</v>
      </c>
      <c r="J87" t="s">
        <v>2390</v>
      </c>
      <c r="K87" t="s">
        <v>2391</v>
      </c>
      <c r="L87" s="13">
        <v>44887.363807870373</v>
      </c>
      <c r="M87" s="13">
        <v>44887.363807870373</v>
      </c>
      <c r="N87" s="13">
        <v>44886.597997685189</v>
      </c>
      <c r="O87" t="s">
        <v>2392</v>
      </c>
      <c r="P87" t="s">
        <v>2216</v>
      </c>
      <c r="Q87" t="s">
        <v>4749</v>
      </c>
      <c r="R87" t="s">
        <v>4750</v>
      </c>
      <c r="S87" t="s">
        <v>99</v>
      </c>
      <c r="T87" t="s">
        <v>99</v>
      </c>
      <c r="U87" t="s">
        <v>99</v>
      </c>
      <c r="V87" t="s">
        <v>4495</v>
      </c>
      <c r="W87" t="s">
        <v>4496</v>
      </c>
      <c r="X87" t="s">
        <v>99</v>
      </c>
      <c r="Y87" t="s">
        <v>99</v>
      </c>
      <c r="Z87" t="s">
        <v>99</v>
      </c>
    </row>
    <row r="88" spans="1:26">
      <c r="A88" t="s">
        <v>4751</v>
      </c>
      <c r="B88" t="s">
        <v>222</v>
      </c>
      <c r="C88">
        <v>2013</v>
      </c>
      <c r="D88" t="s">
        <v>1379</v>
      </c>
      <c r="E88" t="s">
        <v>2374</v>
      </c>
      <c r="F88" t="s">
        <v>1381</v>
      </c>
      <c r="G88" t="s">
        <v>1382</v>
      </c>
      <c r="H88" t="s">
        <v>99</v>
      </c>
      <c r="I88" t="s">
        <v>99</v>
      </c>
      <c r="J88" t="s">
        <v>2375</v>
      </c>
      <c r="K88" t="s">
        <v>139</v>
      </c>
      <c r="L88" s="13">
        <v>44887.363807870373</v>
      </c>
      <c r="M88" s="13">
        <v>44887.363807870373</v>
      </c>
      <c r="N88" s="13">
        <v>44886.598020833335</v>
      </c>
      <c r="O88" t="s">
        <v>2376</v>
      </c>
      <c r="P88" t="s">
        <v>99</v>
      </c>
      <c r="Q88" t="s">
        <v>99</v>
      </c>
      <c r="R88" t="s">
        <v>99</v>
      </c>
      <c r="S88" t="s">
        <v>99</v>
      </c>
      <c r="T88" t="s">
        <v>1385</v>
      </c>
      <c r="U88" t="s">
        <v>1386</v>
      </c>
      <c r="V88" t="s">
        <v>4723</v>
      </c>
      <c r="W88" t="s">
        <v>4496</v>
      </c>
      <c r="X88" t="s">
        <v>2377</v>
      </c>
      <c r="Y88" t="s">
        <v>99</v>
      </c>
      <c r="Z88" t="s">
        <v>99</v>
      </c>
    </row>
    <row r="89" spans="1:26">
      <c r="A89" t="s">
        <v>4752</v>
      </c>
      <c r="B89" t="s">
        <v>222</v>
      </c>
      <c r="C89">
        <v>2010</v>
      </c>
      <c r="D89" t="s">
        <v>2367</v>
      </c>
      <c r="E89" t="s">
        <v>2368</v>
      </c>
      <c r="F89" t="s">
        <v>2369</v>
      </c>
      <c r="G89" t="s">
        <v>2370</v>
      </c>
      <c r="H89" t="s">
        <v>99</v>
      </c>
      <c r="I89" t="s">
        <v>99</v>
      </c>
      <c r="J89" t="s">
        <v>2371</v>
      </c>
      <c r="K89" t="s">
        <v>130</v>
      </c>
      <c r="L89" s="13">
        <v>44887.363807870373</v>
      </c>
      <c r="M89" s="13">
        <v>44887.363807870373</v>
      </c>
      <c r="N89" s="13">
        <v>44886.598032407404</v>
      </c>
      <c r="O89" t="s">
        <v>2372</v>
      </c>
      <c r="P89" t="s">
        <v>99</v>
      </c>
      <c r="Q89" t="s">
        <v>4753</v>
      </c>
      <c r="R89" t="s">
        <v>99</v>
      </c>
      <c r="S89" t="s">
        <v>99</v>
      </c>
      <c r="T89" t="s">
        <v>1218</v>
      </c>
      <c r="U89" t="s">
        <v>133</v>
      </c>
      <c r="V89" t="s">
        <v>99</v>
      </c>
      <c r="W89" t="s">
        <v>4496</v>
      </c>
      <c r="X89" t="s">
        <v>2373</v>
      </c>
      <c r="Y89" t="s">
        <v>4754</v>
      </c>
      <c r="Z89" t="s">
        <v>99</v>
      </c>
    </row>
    <row r="90" spans="1:26">
      <c r="A90" t="s">
        <v>4755</v>
      </c>
      <c r="B90" t="s">
        <v>222</v>
      </c>
      <c r="C90">
        <v>2017</v>
      </c>
      <c r="D90" t="s">
        <v>2378</v>
      </c>
      <c r="E90" t="s">
        <v>2379</v>
      </c>
      <c r="F90" t="s">
        <v>2380</v>
      </c>
      <c r="G90" t="s">
        <v>2381</v>
      </c>
      <c r="H90" t="s">
        <v>99</v>
      </c>
      <c r="I90" t="s">
        <v>99</v>
      </c>
      <c r="J90" t="s">
        <v>2382</v>
      </c>
      <c r="K90" t="s">
        <v>156</v>
      </c>
      <c r="L90" s="13">
        <v>44887.363807870373</v>
      </c>
      <c r="M90" s="13">
        <v>44887.363807870373</v>
      </c>
      <c r="N90" s="13">
        <v>44886.598020833335</v>
      </c>
      <c r="O90" t="s">
        <v>2383</v>
      </c>
      <c r="P90" t="s">
        <v>99</v>
      </c>
      <c r="Q90" t="s">
        <v>4756</v>
      </c>
      <c r="R90" t="s">
        <v>99</v>
      </c>
      <c r="S90" t="s">
        <v>99</v>
      </c>
      <c r="T90" t="s">
        <v>1226</v>
      </c>
      <c r="U90" t="s">
        <v>1227</v>
      </c>
      <c r="V90" t="s">
        <v>4495</v>
      </c>
      <c r="W90" t="s">
        <v>4496</v>
      </c>
      <c r="X90" t="s">
        <v>2384</v>
      </c>
      <c r="Y90" t="s">
        <v>4757</v>
      </c>
      <c r="Z90" t="s">
        <v>99</v>
      </c>
    </row>
    <row r="91" spans="1:26">
      <c r="A91" t="s">
        <v>4758</v>
      </c>
      <c r="B91" t="s">
        <v>706</v>
      </c>
      <c r="C91">
        <v>2009</v>
      </c>
      <c r="D91" t="s">
        <v>2362</v>
      </c>
      <c r="E91" t="s">
        <v>2363</v>
      </c>
      <c r="F91" t="s">
        <v>99</v>
      </c>
      <c r="G91" t="s">
        <v>2364</v>
      </c>
      <c r="H91" t="s">
        <v>99</v>
      </c>
      <c r="I91" t="s">
        <v>99</v>
      </c>
      <c r="J91" t="s">
        <v>2365</v>
      </c>
      <c r="K91" t="s">
        <v>615</v>
      </c>
      <c r="L91" s="13">
        <v>44887.363807870373</v>
      </c>
      <c r="M91" s="13">
        <v>44887.363807870373</v>
      </c>
      <c r="N91" s="13">
        <v>44886.598032407404</v>
      </c>
      <c r="O91" t="s">
        <v>99</v>
      </c>
      <c r="P91" t="s">
        <v>99</v>
      </c>
      <c r="Q91" t="s">
        <v>99</v>
      </c>
      <c r="R91" t="s">
        <v>99</v>
      </c>
      <c r="S91" t="s">
        <v>99</v>
      </c>
      <c r="T91" t="s">
        <v>1218</v>
      </c>
      <c r="U91" t="s">
        <v>133</v>
      </c>
      <c r="V91" t="s">
        <v>4495</v>
      </c>
      <c r="W91" t="s">
        <v>4496</v>
      </c>
      <c r="X91" t="s">
        <v>2366</v>
      </c>
      <c r="Y91" t="s">
        <v>99</v>
      </c>
      <c r="Z91" t="s">
        <v>99</v>
      </c>
    </row>
    <row r="92" spans="1:26">
      <c r="A92" t="s">
        <v>4759</v>
      </c>
      <c r="B92" t="s">
        <v>135</v>
      </c>
      <c r="C92">
        <v>2007</v>
      </c>
      <c r="D92" t="s">
        <v>2354</v>
      </c>
      <c r="E92" t="s">
        <v>2355</v>
      </c>
      <c r="F92" t="s">
        <v>2356</v>
      </c>
      <c r="G92" t="s">
        <v>99</v>
      </c>
      <c r="H92" t="s">
        <v>2357</v>
      </c>
      <c r="I92" t="s">
        <v>2358</v>
      </c>
      <c r="J92" t="s">
        <v>2359</v>
      </c>
      <c r="K92" t="s">
        <v>2360</v>
      </c>
      <c r="L92" s="13">
        <v>44887.363807870373</v>
      </c>
      <c r="M92" s="13">
        <v>44887.363807870373</v>
      </c>
      <c r="N92" s="13">
        <v>44886.598032407404</v>
      </c>
      <c r="O92" t="s">
        <v>2361</v>
      </c>
      <c r="P92" t="s">
        <v>182</v>
      </c>
      <c r="Q92" t="s">
        <v>666</v>
      </c>
      <c r="R92" t="s">
        <v>4760</v>
      </c>
      <c r="S92" t="s">
        <v>99</v>
      </c>
      <c r="T92" t="s">
        <v>99</v>
      </c>
      <c r="U92" t="s">
        <v>99</v>
      </c>
      <c r="V92" t="s">
        <v>4495</v>
      </c>
      <c r="W92" t="s">
        <v>4496</v>
      </c>
      <c r="X92" t="s">
        <v>99</v>
      </c>
      <c r="Y92" t="s">
        <v>99</v>
      </c>
      <c r="Z92" t="s">
        <v>99</v>
      </c>
    </row>
    <row r="93" spans="1:26">
      <c r="A93" t="s">
        <v>4761</v>
      </c>
      <c r="B93" t="s">
        <v>135</v>
      </c>
      <c r="C93">
        <v>2021</v>
      </c>
      <c r="D93" t="s">
        <v>2347</v>
      </c>
      <c r="E93" t="s">
        <v>2348</v>
      </c>
      <c r="F93" t="s">
        <v>2349</v>
      </c>
      <c r="G93" t="s">
        <v>99</v>
      </c>
      <c r="H93" t="s">
        <v>2350</v>
      </c>
      <c r="I93" t="s">
        <v>2351</v>
      </c>
      <c r="J93" t="s">
        <v>2352</v>
      </c>
      <c r="K93" t="s">
        <v>1706</v>
      </c>
      <c r="L93" s="13">
        <v>44887.363807870373</v>
      </c>
      <c r="M93" s="13">
        <v>44887.363807870373</v>
      </c>
      <c r="N93" s="13">
        <v>44886.598043981481</v>
      </c>
      <c r="O93" t="s">
        <v>2353</v>
      </c>
      <c r="P93" t="s">
        <v>288</v>
      </c>
      <c r="Q93" t="s">
        <v>4762</v>
      </c>
      <c r="R93" t="s">
        <v>4763</v>
      </c>
      <c r="S93" t="s">
        <v>4764</v>
      </c>
      <c r="T93" t="s">
        <v>99</v>
      </c>
      <c r="U93" t="s">
        <v>99</v>
      </c>
      <c r="V93" t="s">
        <v>4495</v>
      </c>
      <c r="W93" t="s">
        <v>4496</v>
      </c>
      <c r="X93" t="s">
        <v>99</v>
      </c>
      <c r="Y93" t="s">
        <v>99</v>
      </c>
      <c r="Z93" t="s">
        <v>99</v>
      </c>
    </row>
    <row r="94" spans="1:26">
      <c r="A94" t="s">
        <v>4765</v>
      </c>
      <c r="B94" t="s">
        <v>222</v>
      </c>
      <c r="C94">
        <v>1995</v>
      </c>
      <c r="D94" t="s">
        <v>2340</v>
      </c>
      <c r="E94" t="s">
        <v>2341</v>
      </c>
      <c r="F94" t="s">
        <v>2342</v>
      </c>
      <c r="G94" t="s">
        <v>2343</v>
      </c>
      <c r="H94" t="s">
        <v>99</v>
      </c>
      <c r="I94" t="s">
        <v>99</v>
      </c>
      <c r="J94" t="s">
        <v>2344</v>
      </c>
      <c r="K94" t="s">
        <v>165</v>
      </c>
      <c r="L94" s="13">
        <v>44887.363807870373</v>
      </c>
      <c r="M94" s="13">
        <v>44887.363807870373</v>
      </c>
      <c r="N94" s="13">
        <v>44886.598043981481</v>
      </c>
      <c r="O94" t="s">
        <v>2345</v>
      </c>
      <c r="P94" t="s">
        <v>99</v>
      </c>
      <c r="Q94" t="s">
        <v>99</v>
      </c>
      <c r="R94" t="s">
        <v>99</v>
      </c>
      <c r="S94" t="s">
        <v>99</v>
      </c>
      <c r="T94" t="s">
        <v>1331</v>
      </c>
      <c r="U94" t="s">
        <v>1937</v>
      </c>
      <c r="V94" t="s">
        <v>4495</v>
      </c>
      <c r="W94" t="s">
        <v>4496</v>
      </c>
      <c r="X94" t="s">
        <v>2346</v>
      </c>
      <c r="Y94" t="s">
        <v>99</v>
      </c>
      <c r="Z94" t="s">
        <v>99</v>
      </c>
    </row>
    <row r="95" spans="1:26">
      <c r="A95" t="s">
        <v>4766</v>
      </c>
      <c r="B95" t="s">
        <v>222</v>
      </c>
      <c r="C95">
        <v>2011</v>
      </c>
      <c r="D95" t="s">
        <v>2333</v>
      </c>
      <c r="E95" t="s">
        <v>2334</v>
      </c>
      <c r="F95" t="s">
        <v>2335</v>
      </c>
      <c r="G95" t="s">
        <v>2336</v>
      </c>
      <c r="H95" t="s">
        <v>99</v>
      </c>
      <c r="I95" t="s">
        <v>99</v>
      </c>
      <c r="J95" t="s">
        <v>2337</v>
      </c>
      <c r="K95" t="s">
        <v>102</v>
      </c>
      <c r="L95" s="13">
        <v>44887.363807870373</v>
      </c>
      <c r="M95" s="13">
        <v>44887.363807870373</v>
      </c>
      <c r="N95" s="13">
        <v>44886.598055555558</v>
      </c>
      <c r="O95" t="s">
        <v>2338</v>
      </c>
      <c r="P95" t="s">
        <v>99</v>
      </c>
      <c r="Q95" t="s">
        <v>4767</v>
      </c>
      <c r="R95" t="s">
        <v>99</v>
      </c>
      <c r="S95" t="s">
        <v>4768</v>
      </c>
      <c r="T95" t="s">
        <v>1226</v>
      </c>
      <c r="U95" t="s">
        <v>1227</v>
      </c>
      <c r="V95" t="s">
        <v>99</v>
      </c>
      <c r="W95" t="s">
        <v>4496</v>
      </c>
      <c r="X95" t="s">
        <v>2339</v>
      </c>
      <c r="Y95" t="s">
        <v>4769</v>
      </c>
      <c r="Z95" t="s">
        <v>99</v>
      </c>
    </row>
    <row r="96" spans="1:26">
      <c r="A96" t="s">
        <v>4770</v>
      </c>
      <c r="B96" t="s">
        <v>222</v>
      </c>
      <c r="C96">
        <v>2008</v>
      </c>
      <c r="D96" t="s">
        <v>99</v>
      </c>
      <c r="E96" t="s">
        <v>2327</v>
      </c>
      <c r="F96" t="s">
        <v>2328</v>
      </c>
      <c r="G96" t="s">
        <v>2329</v>
      </c>
      <c r="H96" t="s">
        <v>99</v>
      </c>
      <c r="I96" t="s">
        <v>99</v>
      </c>
      <c r="J96" t="s">
        <v>2330</v>
      </c>
      <c r="K96" t="s">
        <v>736</v>
      </c>
      <c r="L96" s="13">
        <v>44887.363807870373</v>
      </c>
      <c r="M96" s="13">
        <v>44887.363807870373</v>
      </c>
      <c r="N96" s="13">
        <v>44886.598055555558</v>
      </c>
      <c r="O96" t="s">
        <v>2331</v>
      </c>
      <c r="P96" t="s">
        <v>99</v>
      </c>
      <c r="Q96" t="s">
        <v>99</v>
      </c>
      <c r="R96" t="s">
        <v>99</v>
      </c>
      <c r="S96" t="s">
        <v>99</v>
      </c>
      <c r="T96" t="s">
        <v>1218</v>
      </c>
      <c r="U96" t="s">
        <v>133</v>
      </c>
      <c r="V96" t="s">
        <v>4495</v>
      </c>
      <c r="W96" t="s">
        <v>4496</v>
      </c>
      <c r="X96" t="s">
        <v>2332</v>
      </c>
      <c r="Y96" t="s">
        <v>99</v>
      </c>
      <c r="Z96" t="s">
        <v>99</v>
      </c>
    </row>
    <row r="97" spans="1:26">
      <c r="A97" t="s">
        <v>4771</v>
      </c>
      <c r="B97" t="s">
        <v>135</v>
      </c>
      <c r="C97">
        <v>2008</v>
      </c>
      <c r="D97" t="s">
        <v>2321</v>
      </c>
      <c r="E97" t="s">
        <v>2322</v>
      </c>
      <c r="F97" t="s">
        <v>1687</v>
      </c>
      <c r="G97" t="s">
        <v>99</v>
      </c>
      <c r="H97" t="s">
        <v>1688</v>
      </c>
      <c r="I97" t="s">
        <v>2323</v>
      </c>
      <c r="J97" t="s">
        <v>2324</v>
      </c>
      <c r="K97" t="s">
        <v>2325</v>
      </c>
      <c r="L97" s="13">
        <v>44887.363807870373</v>
      </c>
      <c r="M97" s="13">
        <v>44887.363807870373</v>
      </c>
      <c r="N97" s="13">
        <v>44886.598067129627</v>
      </c>
      <c r="O97" t="s">
        <v>2326</v>
      </c>
      <c r="P97" t="s">
        <v>288</v>
      </c>
      <c r="Q97" t="s">
        <v>363</v>
      </c>
      <c r="R97" t="s">
        <v>4736</v>
      </c>
      <c r="S97" t="s">
        <v>99</v>
      </c>
      <c r="T97" t="s">
        <v>99</v>
      </c>
      <c r="U97" t="s">
        <v>99</v>
      </c>
      <c r="V97" t="s">
        <v>4495</v>
      </c>
      <c r="W97" t="s">
        <v>4496</v>
      </c>
      <c r="X97" t="s">
        <v>99</v>
      </c>
      <c r="Y97" t="s">
        <v>99</v>
      </c>
      <c r="Z97" t="s">
        <v>99</v>
      </c>
    </row>
    <row r="98" spans="1:26">
      <c r="A98" t="s">
        <v>4772</v>
      </c>
      <c r="B98" t="s">
        <v>222</v>
      </c>
      <c r="C98">
        <v>2018</v>
      </c>
      <c r="D98" t="s">
        <v>2314</v>
      </c>
      <c r="E98" t="s">
        <v>2315</v>
      </c>
      <c r="F98" t="s">
        <v>2316</v>
      </c>
      <c r="G98" t="s">
        <v>2317</v>
      </c>
      <c r="H98" t="s">
        <v>99</v>
      </c>
      <c r="I98" t="s">
        <v>99</v>
      </c>
      <c r="J98" t="s">
        <v>2318</v>
      </c>
      <c r="K98" t="s">
        <v>384</v>
      </c>
      <c r="L98" s="13">
        <v>44887.363807870373</v>
      </c>
      <c r="M98" s="13">
        <v>44887.363807870373</v>
      </c>
      <c r="N98" s="13">
        <v>44886.598067129627</v>
      </c>
      <c r="O98" t="s">
        <v>2319</v>
      </c>
      <c r="P98" t="s">
        <v>99</v>
      </c>
      <c r="Q98" t="s">
        <v>4773</v>
      </c>
      <c r="R98" t="s">
        <v>99</v>
      </c>
      <c r="S98" t="s">
        <v>99</v>
      </c>
      <c r="T98" t="s">
        <v>1226</v>
      </c>
      <c r="U98" t="s">
        <v>1227</v>
      </c>
      <c r="V98" t="s">
        <v>99</v>
      </c>
      <c r="W98" t="s">
        <v>4496</v>
      </c>
      <c r="X98" t="s">
        <v>2320</v>
      </c>
      <c r="Y98" t="s">
        <v>4774</v>
      </c>
      <c r="Z98" t="s">
        <v>99</v>
      </c>
    </row>
    <row r="99" spans="1:26">
      <c r="A99" t="s">
        <v>4775</v>
      </c>
      <c r="B99" t="s">
        <v>222</v>
      </c>
      <c r="C99">
        <v>2018</v>
      </c>
      <c r="D99" t="s">
        <v>2286</v>
      </c>
      <c r="E99" t="s">
        <v>2287</v>
      </c>
      <c r="F99" t="s">
        <v>2288</v>
      </c>
      <c r="G99" t="s">
        <v>2289</v>
      </c>
      <c r="H99" t="s">
        <v>99</v>
      </c>
      <c r="I99" t="s">
        <v>99</v>
      </c>
      <c r="J99" t="s">
        <v>2290</v>
      </c>
      <c r="K99" t="s">
        <v>384</v>
      </c>
      <c r="L99" s="13">
        <v>44887.363807870373</v>
      </c>
      <c r="M99" s="13">
        <v>44887.363807870373</v>
      </c>
      <c r="N99" s="13">
        <v>44886.598101851851</v>
      </c>
      <c r="O99" t="s">
        <v>2291</v>
      </c>
      <c r="P99" t="s">
        <v>99</v>
      </c>
      <c r="Q99" t="s">
        <v>4776</v>
      </c>
      <c r="R99" t="s">
        <v>99</v>
      </c>
      <c r="S99" t="s">
        <v>99</v>
      </c>
      <c r="T99" t="s">
        <v>1226</v>
      </c>
      <c r="U99" t="s">
        <v>1227</v>
      </c>
      <c r="V99" t="s">
        <v>99</v>
      </c>
      <c r="W99" t="s">
        <v>4496</v>
      </c>
      <c r="X99" t="s">
        <v>2292</v>
      </c>
      <c r="Y99" t="s">
        <v>4777</v>
      </c>
      <c r="Z99" t="s">
        <v>99</v>
      </c>
    </row>
    <row r="100" spans="1:26">
      <c r="A100" t="s">
        <v>4778</v>
      </c>
      <c r="B100" t="s">
        <v>135</v>
      </c>
      <c r="C100">
        <v>2007</v>
      </c>
      <c r="D100" t="s">
        <v>2280</v>
      </c>
      <c r="E100" t="s">
        <v>2281</v>
      </c>
      <c r="F100" t="s">
        <v>1607</v>
      </c>
      <c r="G100" t="s">
        <v>99</v>
      </c>
      <c r="H100" t="s">
        <v>1266</v>
      </c>
      <c r="I100" t="s">
        <v>2282</v>
      </c>
      <c r="J100" t="s">
        <v>2283</v>
      </c>
      <c r="K100" t="s">
        <v>2284</v>
      </c>
      <c r="L100" s="13">
        <v>44887.363807870373</v>
      </c>
      <c r="M100" s="13">
        <v>44887.363807870373</v>
      </c>
      <c r="N100" s="13">
        <v>44886.598101851851</v>
      </c>
      <c r="O100" t="s">
        <v>2285</v>
      </c>
      <c r="P100" t="s">
        <v>182</v>
      </c>
      <c r="Q100" t="s">
        <v>2216</v>
      </c>
      <c r="R100" t="s">
        <v>4513</v>
      </c>
      <c r="S100" t="s">
        <v>99</v>
      </c>
      <c r="T100" t="s">
        <v>99</v>
      </c>
      <c r="U100" t="s">
        <v>99</v>
      </c>
      <c r="V100" t="s">
        <v>4495</v>
      </c>
      <c r="W100" t="s">
        <v>4496</v>
      </c>
      <c r="X100" t="s">
        <v>99</v>
      </c>
      <c r="Y100" t="s">
        <v>99</v>
      </c>
      <c r="Z100" t="s">
        <v>99</v>
      </c>
    </row>
    <row r="101" spans="1:26">
      <c r="A101" t="s">
        <v>4779</v>
      </c>
      <c r="B101" t="s">
        <v>222</v>
      </c>
      <c r="C101">
        <v>1989</v>
      </c>
      <c r="D101" t="s">
        <v>2293</v>
      </c>
      <c r="E101" t="s">
        <v>2294</v>
      </c>
      <c r="F101" t="s">
        <v>2295</v>
      </c>
      <c r="G101" t="s">
        <v>2296</v>
      </c>
      <c r="H101" t="s">
        <v>99</v>
      </c>
      <c r="I101" t="s">
        <v>99</v>
      </c>
      <c r="J101" t="s">
        <v>2297</v>
      </c>
      <c r="K101" t="s">
        <v>2298</v>
      </c>
      <c r="L101" s="13">
        <v>44887.363807870373</v>
      </c>
      <c r="M101" s="13">
        <v>44887.363807870373</v>
      </c>
      <c r="N101" s="13">
        <v>44886.598090277781</v>
      </c>
      <c r="O101" t="s">
        <v>2299</v>
      </c>
      <c r="P101" t="s">
        <v>99</v>
      </c>
      <c r="Q101" t="s">
        <v>99</v>
      </c>
      <c r="R101" t="s">
        <v>99</v>
      </c>
      <c r="S101" t="s">
        <v>4780</v>
      </c>
      <c r="T101" t="s">
        <v>1618</v>
      </c>
      <c r="U101" t="s">
        <v>1619</v>
      </c>
      <c r="V101" t="s">
        <v>99</v>
      </c>
      <c r="W101" t="s">
        <v>4496</v>
      </c>
      <c r="X101" t="s">
        <v>2300</v>
      </c>
      <c r="Y101" t="s">
        <v>4781</v>
      </c>
      <c r="Z101" t="s">
        <v>99</v>
      </c>
    </row>
    <row r="102" spans="1:26">
      <c r="A102" t="s">
        <v>4782</v>
      </c>
      <c r="B102" t="s">
        <v>94</v>
      </c>
      <c r="C102">
        <v>2021</v>
      </c>
      <c r="D102" t="s">
        <v>871</v>
      </c>
      <c r="E102" t="s">
        <v>872</v>
      </c>
      <c r="F102" t="s">
        <v>873</v>
      </c>
      <c r="G102" t="s">
        <v>99</v>
      </c>
      <c r="H102" t="s">
        <v>99</v>
      </c>
      <c r="I102" t="s">
        <v>874</v>
      </c>
      <c r="J102" t="s">
        <v>99</v>
      </c>
      <c r="K102" t="s">
        <v>113</v>
      </c>
      <c r="L102" s="13">
        <v>44887.363807870373</v>
      </c>
      <c r="M102" s="13">
        <v>44887.363807870373</v>
      </c>
      <c r="N102" s="13"/>
      <c r="O102" t="s">
        <v>875</v>
      </c>
      <c r="P102" t="s">
        <v>99</v>
      </c>
      <c r="Q102" t="s">
        <v>99</v>
      </c>
      <c r="R102" t="s">
        <v>99</v>
      </c>
      <c r="S102" t="s">
        <v>99</v>
      </c>
      <c r="T102" t="s">
        <v>99</v>
      </c>
      <c r="U102" t="s">
        <v>99</v>
      </c>
      <c r="V102" t="s">
        <v>99</v>
      </c>
      <c r="W102" t="s">
        <v>99</v>
      </c>
      <c r="X102" t="s">
        <v>99</v>
      </c>
      <c r="Y102" t="s">
        <v>99</v>
      </c>
      <c r="Z102" t="s">
        <v>99</v>
      </c>
    </row>
    <row r="103" spans="1:26">
      <c r="A103" t="s">
        <v>4783</v>
      </c>
      <c r="B103" t="s">
        <v>135</v>
      </c>
      <c r="C103">
        <v>2017</v>
      </c>
      <c r="D103" t="s">
        <v>865</v>
      </c>
      <c r="E103" t="s">
        <v>866</v>
      </c>
      <c r="F103" t="s">
        <v>867</v>
      </c>
      <c r="G103" t="s">
        <v>99</v>
      </c>
      <c r="H103" t="s">
        <v>99</v>
      </c>
      <c r="I103" t="s">
        <v>868</v>
      </c>
      <c r="J103" t="s">
        <v>99</v>
      </c>
      <c r="K103" t="s">
        <v>156</v>
      </c>
      <c r="L103" s="13">
        <v>44887.363807870373</v>
      </c>
      <c r="M103" s="13">
        <v>44887.363807870373</v>
      </c>
      <c r="N103" s="13"/>
      <c r="O103" t="s">
        <v>869</v>
      </c>
      <c r="P103" t="s">
        <v>870</v>
      </c>
      <c r="Q103" t="s">
        <v>4784</v>
      </c>
      <c r="R103" t="s">
        <v>99</v>
      </c>
      <c r="S103" t="s">
        <v>99</v>
      </c>
      <c r="T103" t="s">
        <v>99</v>
      </c>
      <c r="U103" t="s">
        <v>99</v>
      </c>
      <c r="V103" t="s">
        <v>99</v>
      </c>
      <c r="W103" t="s">
        <v>99</v>
      </c>
      <c r="X103" t="s">
        <v>99</v>
      </c>
      <c r="Y103" t="s">
        <v>99</v>
      </c>
      <c r="Z103" t="s">
        <v>99</v>
      </c>
    </row>
    <row r="104" spans="1:26">
      <c r="A104" t="s">
        <v>4785</v>
      </c>
      <c r="B104" t="s">
        <v>706</v>
      </c>
      <c r="C104">
        <v>2021</v>
      </c>
      <c r="D104" t="s">
        <v>707</v>
      </c>
      <c r="E104" t="s">
        <v>99</v>
      </c>
      <c r="F104" t="s">
        <v>99</v>
      </c>
      <c r="G104" t="s">
        <v>99</v>
      </c>
      <c r="H104" t="s">
        <v>99</v>
      </c>
      <c r="I104" t="s">
        <v>99</v>
      </c>
      <c r="J104" t="s">
        <v>99</v>
      </c>
      <c r="K104" t="s">
        <v>113</v>
      </c>
      <c r="L104" s="13">
        <v>44887.363807870373</v>
      </c>
      <c r="M104" s="13">
        <v>44887.363807870373</v>
      </c>
      <c r="N104" s="13"/>
      <c r="O104" t="s">
        <v>99</v>
      </c>
      <c r="P104" t="s">
        <v>99</v>
      </c>
      <c r="Q104" t="s">
        <v>99</v>
      </c>
      <c r="R104" t="s">
        <v>99</v>
      </c>
      <c r="S104" t="s">
        <v>99</v>
      </c>
      <c r="T104" t="s">
        <v>99</v>
      </c>
      <c r="U104" t="s">
        <v>99</v>
      </c>
      <c r="V104" t="s">
        <v>99</v>
      </c>
      <c r="W104" t="s">
        <v>99</v>
      </c>
      <c r="X104" t="s">
        <v>708</v>
      </c>
      <c r="Y104" t="s">
        <v>99</v>
      </c>
      <c r="Z104" t="s">
        <v>99</v>
      </c>
    </row>
    <row r="105" spans="1:26">
      <c r="A105" t="s">
        <v>4786</v>
      </c>
      <c r="B105" t="s">
        <v>135</v>
      </c>
      <c r="C105">
        <v>2022</v>
      </c>
      <c r="D105" t="s">
        <v>848</v>
      </c>
      <c r="E105" t="s">
        <v>849</v>
      </c>
      <c r="F105" t="s">
        <v>744</v>
      </c>
      <c r="G105" t="s">
        <v>99</v>
      </c>
      <c r="H105" t="s">
        <v>99</v>
      </c>
      <c r="I105" t="s">
        <v>850</v>
      </c>
      <c r="J105" t="s">
        <v>99</v>
      </c>
      <c r="K105" t="s">
        <v>123</v>
      </c>
      <c r="L105" s="13">
        <v>44887.363807870373</v>
      </c>
      <c r="M105" s="13">
        <v>44887.363807870373</v>
      </c>
      <c r="N105" s="13"/>
      <c r="O105" t="s">
        <v>851</v>
      </c>
      <c r="P105" t="s">
        <v>99</v>
      </c>
      <c r="Q105" t="s">
        <v>99</v>
      </c>
      <c r="R105" t="s">
        <v>99</v>
      </c>
      <c r="S105" t="s">
        <v>99</v>
      </c>
      <c r="T105" t="s">
        <v>99</v>
      </c>
      <c r="U105" t="s">
        <v>99</v>
      </c>
      <c r="V105" t="s">
        <v>99</v>
      </c>
      <c r="W105" t="s">
        <v>99</v>
      </c>
      <c r="X105" t="s">
        <v>99</v>
      </c>
      <c r="Y105" t="s">
        <v>99</v>
      </c>
      <c r="Z105" t="s">
        <v>99</v>
      </c>
    </row>
    <row r="106" spans="1:26">
      <c r="A106" t="s">
        <v>4787</v>
      </c>
      <c r="B106" t="s">
        <v>94</v>
      </c>
      <c r="C106">
        <v>2021</v>
      </c>
      <c r="D106" t="s">
        <v>855</v>
      </c>
      <c r="E106" t="s">
        <v>856</v>
      </c>
      <c r="F106" t="s">
        <v>857</v>
      </c>
      <c r="G106" t="s">
        <v>99</v>
      </c>
      <c r="H106" t="s">
        <v>99</v>
      </c>
      <c r="I106" t="s">
        <v>858</v>
      </c>
      <c r="J106" t="s">
        <v>99</v>
      </c>
      <c r="K106" t="s">
        <v>113</v>
      </c>
      <c r="L106" s="13">
        <v>44887.363807870373</v>
      </c>
      <c r="M106" s="13">
        <v>44887.363807870373</v>
      </c>
      <c r="N106" s="13"/>
      <c r="O106" t="s">
        <v>859</v>
      </c>
      <c r="P106" t="s">
        <v>99</v>
      </c>
      <c r="Q106" t="s">
        <v>99</v>
      </c>
      <c r="R106" t="s">
        <v>99</v>
      </c>
      <c r="S106" t="s">
        <v>99</v>
      </c>
      <c r="T106" t="s">
        <v>99</v>
      </c>
      <c r="U106" t="s">
        <v>99</v>
      </c>
      <c r="V106" t="s">
        <v>99</v>
      </c>
      <c r="W106" t="s">
        <v>99</v>
      </c>
      <c r="X106" t="s">
        <v>99</v>
      </c>
      <c r="Y106" t="s">
        <v>99</v>
      </c>
      <c r="Z106" t="s">
        <v>99</v>
      </c>
    </row>
    <row r="107" spans="1:26">
      <c r="A107" t="s">
        <v>4788</v>
      </c>
      <c r="B107" t="s">
        <v>94</v>
      </c>
      <c r="C107">
        <v>2021</v>
      </c>
      <c r="D107" t="s">
        <v>688</v>
      </c>
      <c r="E107" t="s">
        <v>852</v>
      </c>
      <c r="F107" t="s">
        <v>690</v>
      </c>
      <c r="G107" t="s">
        <v>99</v>
      </c>
      <c r="H107" t="s">
        <v>99</v>
      </c>
      <c r="I107" t="s">
        <v>853</v>
      </c>
      <c r="J107" t="s">
        <v>99</v>
      </c>
      <c r="K107" t="s">
        <v>113</v>
      </c>
      <c r="L107" s="13">
        <v>44887.363807870373</v>
      </c>
      <c r="M107" s="13">
        <v>44887.363807870373</v>
      </c>
      <c r="N107" s="13"/>
      <c r="O107" t="s">
        <v>854</v>
      </c>
      <c r="P107" t="s">
        <v>99</v>
      </c>
      <c r="Q107" t="s">
        <v>99</v>
      </c>
      <c r="R107" t="s">
        <v>99</v>
      </c>
      <c r="S107" t="s">
        <v>99</v>
      </c>
      <c r="T107" t="s">
        <v>99</v>
      </c>
      <c r="U107" t="s">
        <v>99</v>
      </c>
      <c r="V107" t="s">
        <v>99</v>
      </c>
      <c r="W107" t="s">
        <v>99</v>
      </c>
      <c r="X107" t="s">
        <v>99</v>
      </c>
      <c r="Y107" t="s">
        <v>99</v>
      </c>
      <c r="Z107" t="s">
        <v>99</v>
      </c>
    </row>
    <row r="108" spans="1:26">
      <c r="A108" t="s">
        <v>4789</v>
      </c>
      <c r="B108" t="s">
        <v>94</v>
      </c>
      <c r="C108">
        <v>2005</v>
      </c>
      <c r="D108" t="s">
        <v>838</v>
      </c>
      <c r="E108" t="s">
        <v>843</v>
      </c>
      <c r="F108" t="s">
        <v>844</v>
      </c>
      <c r="G108" t="s">
        <v>99</v>
      </c>
      <c r="H108" t="s">
        <v>99</v>
      </c>
      <c r="I108" t="s">
        <v>845</v>
      </c>
      <c r="J108" t="s">
        <v>99</v>
      </c>
      <c r="K108" t="s">
        <v>846</v>
      </c>
      <c r="L108" s="13">
        <v>44887.363807870373</v>
      </c>
      <c r="M108" s="13">
        <v>44887.363807870373</v>
      </c>
      <c r="N108" s="13"/>
      <c r="O108" t="s">
        <v>847</v>
      </c>
      <c r="P108" t="s">
        <v>99</v>
      </c>
      <c r="Q108" t="s">
        <v>99</v>
      </c>
      <c r="R108" t="s">
        <v>99</v>
      </c>
      <c r="S108" t="s">
        <v>99</v>
      </c>
      <c r="T108" t="s">
        <v>99</v>
      </c>
      <c r="U108" t="s">
        <v>99</v>
      </c>
      <c r="V108" t="s">
        <v>99</v>
      </c>
      <c r="W108" t="s">
        <v>99</v>
      </c>
      <c r="X108" t="s">
        <v>99</v>
      </c>
      <c r="Y108" t="s">
        <v>99</v>
      </c>
      <c r="Z108" t="s">
        <v>99</v>
      </c>
    </row>
    <row r="109" spans="1:26">
      <c r="A109" t="s">
        <v>4790</v>
      </c>
      <c r="B109" t="s">
        <v>135</v>
      </c>
      <c r="C109">
        <v>2006</v>
      </c>
      <c r="D109" t="s">
        <v>838</v>
      </c>
      <c r="E109" t="s">
        <v>839</v>
      </c>
      <c r="F109" t="s">
        <v>840</v>
      </c>
      <c r="G109" t="s">
        <v>99</v>
      </c>
      <c r="H109" t="s">
        <v>99</v>
      </c>
      <c r="I109" t="s">
        <v>841</v>
      </c>
      <c r="J109" t="s">
        <v>99</v>
      </c>
      <c r="K109" t="s">
        <v>279</v>
      </c>
      <c r="L109" s="13">
        <v>44887.363807870373</v>
      </c>
      <c r="M109" s="13">
        <v>44887.363807870373</v>
      </c>
      <c r="N109" s="13"/>
      <c r="O109" t="s">
        <v>842</v>
      </c>
      <c r="P109" t="s">
        <v>500</v>
      </c>
      <c r="Q109" t="s">
        <v>4791</v>
      </c>
      <c r="R109" t="s">
        <v>99</v>
      </c>
      <c r="S109" t="s">
        <v>99</v>
      </c>
      <c r="T109" t="s">
        <v>99</v>
      </c>
      <c r="U109" t="s">
        <v>99</v>
      </c>
      <c r="V109" t="s">
        <v>99</v>
      </c>
      <c r="W109" t="s">
        <v>99</v>
      </c>
      <c r="X109" t="s">
        <v>99</v>
      </c>
      <c r="Y109" t="s">
        <v>99</v>
      </c>
      <c r="Z109" t="s">
        <v>99</v>
      </c>
    </row>
    <row r="110" spans="1:26">
      <c r="A110" t="s">
        <v>4792</v>
      </c>
      <c r="B110" t="s">
        <v>94</v>
      </c>
      <c r="C110">
        <v>1998</v>
      </c>
      <c r="D110" t="s">
        <v>832</v>
      </c>
      <c r="E110" t="s">
        <v>833</v>
      </c>
      <c r="F110" t="s">
        <v>834</v>
      </c>
      <c r="G110" t="s">
        <v>99</v>
      </c>
      <c r="H110" t="s">
        <v>99</v>
      </c>
      <c r="I110" t="s">
        <v>835</v>
      </c>
      <c r="J110" t="s">
        <v>99</v>
      </c>
      <c r="K110" t="s">
        <v>836</v>
      </c>
      <c r="L110" s="13">
        <v>44887.363807870373</v>
      </c>
      <c r="M110" s="13">
        <v>44887.363807870373</v>
      </c>
      <c r="N110" s="13"/>
      <c r="O110" t="s">
        <v>837</v>
      </c>
      <c r="P110" t="s">
        <v>99</v>
      </c>
      <c r="Q110" t="s">
        <v>99</v>
      </c>
      <c r="R110" t="s">
        <v>99</v>
      </c>
      <c r="S110" t="s">
        <v>99</v>
      </c>
      <c r="T110" t="s">
        <v>99</v>
      </c>
      <c r="U110" t="s">
        <v>99</v>
      </c>
      <c r="V110" t="s">
        <v>99</v>
      </c>
      <c r="W110" t="s">
        <v>99</v>
      </c>
      <c r="X110" t="s">
        <v>99</v>
      </c>
      <c r="Y110" t="s">
        <v>99</v>
      </c>
      <c r="Z110" t="s">
        <v>99</v>
      </c>
    </row>
    <row r="111" spans="1:26">
      <c r="A111" t="s">
        <v>4793</v>
      </c>
      <c r="B111" t="s">
        <v>94</v>
      </c>
      <c r="C111">
        <v>2014</v>
      </c>
      <c r="D111" t="s">
        <v>817</v>
      </c>
      <c r="E111" t="s">
        <v>818</v>
      </c>
      <c r="F111" t="s">
        <v>819</v>
      </c>
      <c r="G111" t="s">
        <v>99</v>
      </c>
      <c r="H111" t="s">
        <v>99</v>
      </c>
      <c r="I111" t="s">
        <v>820</v>
      </c>
      <c r="J111" t="s">
        <v>99</v>
      </c>
      <c r="K111" t="s">
        <v>400</v>
      </c>
      <c r="L111" s="13">
        <v>44887.363807870373</v>
      </c>
      <c r="M111" s="13">
        <v>44887.363807870373</v>
      </c>
      <c r="N111" s="13"/>
      <c r="O111" t="s">
        <v>821</v>
      </c>
      <c r="P111" t="s">
        <v>99</v>
      </c>
      <c r="Q111" t="s">
        <v>99</v>
      </c>
      <c r="R111" t="s">
        <v>99</v>
      </c>
      <c r="S111" t="s">
        <v>99</v>
      </c>
      <c r="T111" t="s">
        <v>99</v>
      </c>
      <c r="U111" t="s">
        <v>99</v>
      </c>
      <c r="V111" t="s">
        <v>99</v>
      </c>
      <c r="W111" t="s">
        <v>99</v>
      </c>
      <c r="X111" t="s">
        <v>99</v>
      </c>
      <c r="Y111" t="s">
        <v>99</v>
      </c>
      <c r="Z111" t="s">
        <v>99</v>
      </c>
    </row>
    <row r="112" spans="1:26">
      <c r="A112" t="s">
        <v>4794</v>
      </c>
      <c r="B112" t="s">
        <v>94</v>
      </c>
      <c r="C112">
        <v>2015</v>
      </c>
      <c r="D112" t="s">
        <v>812</v>
      </c>
      <c r="E112" t="s">
        <v>813</v>
      </c>
      <c r="F112" t="s">
        <v>814</v>
      </c>
      <c r="G112" t="s">
        <v>99</v>
      </c>
      <c r="H112" t="s">
        <v>99</v>
      </c>
      <c r="I112" t="s">
        <v>815</v>
      </c>
      <c r="J112" t="s">
        <v>99</v>
      </c>
      <c r="K112" t="s">
        <v>564</v>
      </c>
      <c r="L112" s="13">
        <v>44887.363807870373</v>
      </c>
      <c r="M112" s="13">
        <v>44887.363807870373</v>
      </c>
      <c r="N112" s="13"/>
      <c r="O112" t="s">
        <v>816</v>
      </c>
      <c r="P112" t="s">
        <v>99</v>
      </c>
      <c r="Q112" t="s">
        <v>99</v>
      </c>
      <c r="R112" t="s">
        <v>99</v>
      </c>
      <c r="S112" t="s">
        <v>99</v>
      </c>
      <c r="T112" t="s">
        <v>99</v>
      </c>
      <c r="U112" t="s">
        <v>99</v>
      </c>
      <c r="V112" t="s">
        <v>99</v>
      </c>
      <c r="W112" t="s">
        <v>99</v>
      </c>
      <c r="X112" t="s">
        <v>99</v>
      </c>
      <c r="Y112" t="s">
        <v>99</v>
      </c>
      <c r="Z112" t="s">
        <v>99</v>
      </c>
    </row>
    <row r="113" spans="1:26">
      <c r="A113" t="s">
        <v>4795</v>
      </c>
      <c r="B113" t="s">
        <v>94</v>
      </c>
      <c r="C113">
        <v>2021</v>
      </c>
      <c r="D113" t="s">
        <v>803</v>
      </c>
      <c r="E113" t="s">
        <v>804</v>
      </c>
      <c r="F113" t="s">
        <v>659</v>
      </c>
      <c r="G113" t="s">
        <v>99</v>
      </c>
      <c r="H113" t="s">
        <v>99</v>
      </c>
      <c r="I113" t="s">
        <v>805</v>
      </c>
      <c r="J113" t="s">
        <v>99</v>
      </c>
      <c r="K113" t="s">
        <v>113</v>
      </c>
      <c r="L113" s="13">
        <v>44887.363807870373</v>
      </c>
      <c r="M113" s="13">
        <v>44887.363807870373</v>
      </c>
      <c r="N113" s="13"/>
      <c r="O113" t="s">
        <v>806</v>
      </c>
      <c r="P113" t="s">
        <v>99</v>
      </c>
      <c r="Q113" t="s">
        <v>99</v>
      </c>
      <c r="R113" t="s">
        <v>99</v>
      </c>
      <c r="S113" t="s">
        <v>99</v>
      </c>
      <c r="T113" t="s">
        <v>99</v>
      </c>
      <c r="U113" t="s">
        <v>99</v>
      </c>
      <c r="V113" t="s">
        <v>99</v>
      </c>
      <c r="W113" t="s">
        <v>99</v>
      </c>
      <c r="X113" t="s">
        <v>99</v>
      </c>
      <c r="Y113" t="s">
        <v>99</v>
      </c>
      <c r="Z113" t="s">
        <v>99</v>
      </c>
    </row>
    <row r="114" spans="1:26">
      <c r="A114" t="s">
        <v>4796</v>
      </c>
      <c r="B114" t="s">
        <v>135</v>
      </c>
      <c r="C114">
        <v>2019</v>
      </c>
      <c r="D114" t="s">
        <v>794</v>
      </c>
      <c r="E114" t="s">
        <v>795</v>
      </c>
      <c r="F114" t="s">
        <v>675</v>
      </c>
      <c r="G114" t="s">
        <v>99</v>
      </c>
      <c r="H114" t="s">
        <v>99</v>
      </c>
      <c r="I114" t="s">
        <v>796</v>
      </c>
      <c r="J114" t="s">
        <v>99</v>
      </c>
      <c r="K114" t="s">
        <v>271</v>
      </c>
      <c r="L114" s="13">
        <v>44887.363807870373</v>
      </c>
      <c r="M114" s="13">
        <v>44887.363807870373</v>
      </c>
      <c r="N114" s="13"/>
      <c r="O114" t="s">
        <v>797</v>
      </c>
      <c r="P114" t="s">
        <v>99</v>
      </c>
      <c r="Q114" t="s">
        <v>2216</v>
      </c>
      <c r="R114" t="s">
        <v>99</v>
      </c>
      <c r="S114" t="s">
        <v>99</v>
      </c>
      <c r="T114" t="s">
        <v>99</v>
      </c>
      <c r="U114" t="s">
        <v>99</v>
      </c>
      <c r="V114" t="s">
        <v>99</v>
      </c>
      <c r="W114" t="s">
        <v>99</v>
      </c>
      <c r="X114" t="s">
        <v>99</v>
      </c>
      <c r="Y114" t="s">
        <v>99</v>
      </c>
      <c r="Z114" t="s">
        <v>99</v>
      </c>
    </row>
    <row r="115" spans="1:26">
      <c r="A115" t="s">
        <v>4797</v>
      </c>
      <c r="B115" t="s">
        <v>94</v>
      </c>
      <c r="C115">
        <v>2016</v>
      </c>
      <c r="D115" t="s">
        <v>789</v>
      </c>
      <c r="E115" t="s">
        <v>790</v>
      </c>
      <c r="F115" t="s">
        <v>791</v>
      </c>
      <c r="G115" t="s">
        <v>99</v>
      </c>
      <c r="H115" t="s">
        <v>99</v>
      </c>
      <c r="I115" t="s">
        <v>792</v>
      </c>
      <c r="J115" t="s">
        <v>99</v>
      </c>
      <c r="K115" t="s">
        <v>331</v>
      </c>
      <c r="L115" s="13">
        <v>44887.363807870373</v>
      </c>
      <c r="M115" s="13">
        <v>44887.363807870373</v>
      </c>
      <c r="N115" s="13"/>
      <c r="O115" t="s">
        <v>793</v>
      </c>
      <c r="P115" t="s">
        <v>99</v>
      </c>
      <c r="Q115" t="s">
        <v>99</v>
      </c>
      <c r="R115" t="s">
        <v>99</v>
      </c>
      <c r="S115" t="s">
        <v>99</v>
      </c>
      <c r="T115" t="s">
        <v>99</v>
      </c>
      <c r="U115" t="s">
        <v>99</v>
      </c>
      <c r="V115" t="s">
        <v>99</v>
      </c>
      <c r="W115" t="s">
        <v>99</v>
      </c>
      <c r="X115" t="s">
        <v>99</v>
      </c>
      <c r="Y115" t="s">
        <v>99</v>
      </c>
      <c r="Z115" t="s">
        <v>99</v>
      </c>
    </row>
    <row r="116" spans="1:26">
      <c r="A116" t="s">
        <v>4798</v>
      </c>
      <c r="B116" t="s">
        <v>94</v>
      </c>
      <c r="C116">
        <v>2012</v>
      </c>
      <c r="D116" t="s">
        <v>784</v>
      </c>
      <c r="E116" t="s">
        <v>785</v>
      </c>
      <c r="F116" t="s">
        <v>786</v>
      </c>
      <c r="G116" t="s">
        <v>99</v>
      </c>
      <c r="H116" t="s">
        <v>99</v>
      </c>
      <c r="I116" t="s">
        <v>787</v>
      </c>
      <c r="J116" t="s">
        <v>99</v>
      </c>
      <c r="K116" t="s">
        <v>351</v>
      </c>
      <c r="L116" s="13">
        <v>44887.363807870373</v>
      </c>
      <c r="M116" s="13">
        <v>44887.363807870373</v>
      </c>
      <c r="N116" s="13"/>
      <c r="O116" t="s">
        <v>788</v>
      </c>
      <c r="P116" t="s">
        <v>99</v>
      </c>
      <c r="Q116" t="s">
        <v>99</v>
      </c>
      <c r="R116" t="s">
        <v>99</v>
      </c>
      <c r="S116" t="s">
        <v>99</v>
      </c>
      <c r="T116" t="s">
        <v>99</v>
      </c>
      <c r="U116" t="s">
        <v>99</v>
      </c>
      <c r="V116" t="s">
        <v>99</v>
      </c>
      <c r="W116" t="s">
        <v>99</v>
      </c>
      <c r="X116" t="s">
        <v>99</v>
      </c>
      <c r="Y116" t="s">
        <v>99</v>
      </c>
      <c r="Z116" t="s">
        <v>99</v>
      </c>
    </row>
    <row r="117" spans="1:26">
      <c r="A117" t="s">
        <v>4799</v>
      </c>
      <c r="B117" t="s">
        <v>94</v>
      </c>
      <c r="C117">
        <v>2022</v>
      </c>
      <c r="D117" t="s">
        <v>779</v>
      </c>
      <c r="E117" t="s">
        <v>780</v>
      </c>
      <c r="F117" t="s">
        <v>781</v>
      </c>
      <c r="G117" t="s">
        <v>99</v>
      </c>
      <c r="H117" t="s">
        <v>99</v>
      </c>
      <c r="I117" t="s">
        <v>782</v>
      </c>
      <c r="J117" t="s">
        <v>99</v>
      </c>
      <c r="K117" t="s">
        <v>123</v>
      </c>
      <c r="L117" s="13">
        <v>44887.363807870373</v>
      </c>
      <c r="M117" s="13">
        <v>44887.363807870373</v>
      </c>
      <c r="N117" s="13"/>
      <c r="O117" t="s">
        <v>783</v>
      </c>
      <c r="P117" t="s">
        <v>99</v>
      </c>
      <c r="Q117" t="s">
        <v>99</v>
      </c>
      <c r="R117" t="s">
        <v>99</v>
      </c>
      <c r="S117" t="s">
        <v>99</v>
      </c>
      <c r="T117" t="s">
        <v>99</v>
      </c>
      <c r="U117" t="s">
        <v>99</v>
      </c>
      <c r="V117" t="s">
        <v>99</v>
      </c>
      <c r="W117" t="s">
        <v>99</v>
      </c>
      <c r="X117" t="s">
        <v>99</v>
      </c>
      <c r="Y117" t="s">
        <v>99</v>
      </c>
      <c r="Z117" t="s">
        <v>99</v>
      </c>
    </row>
    <row r="118" spans="1:26">
      <c r="A118" t="s">
        <v>4800</v>
      </c>
      <c r="B118" t="s">
        <v>135</v>
      </c>
      <c r="C118">
        <v>2016</v>
      </c>
      <c r="D118" t="s">
        <v>827</v>
      </c>
      <c r="E118" t="s">
        <v>828</v>
      </c>
      <c r="F118" t="s">
        <v>829</v>
      </c>
      <c r="G118" t="s">
        <v>99</v>
      </c>
      <c r="H118" t="s">
        <v>99</v>
      </c>
      <c r="I118" t="s">
        <v>830</v>
      </c>
      <c r="J118" t="s">
        <v>99</v>
      </c>
      <c r="K118" t="s">
        <v>331</v>
      </c>
      <c r="L118" s="13">
        <v>44887.363807870373</v>
      </c>
      <c r="M118" s="13">
        <v>44887.363807870373</v>
      </c>
      <c r="N118" s="13"/>
      <c r="O118" t="s">
        <v>831</v>
      </c>
      <c r="P118" t="s">
        <v>236</v>
      </c>
      <c r="Q118" t="s">
        <v>4669</v>
      </c>
      <c r="R118" t="s">
        <v>99</v>
      </c>
      <c r="S118" t="s">
        <v>99</v>
      </c>
      <c r="T118" t="s">
        <v>99</v>
      </c>
      <c r="U118" t="s">
        <v>99</v>
      </c>
      <c r="V118" t="s">
        <v>99</v>
      </c>
      <c r="W118" t="s">
        <v>99</v>
      </c>
      <c r="X118" t="s">
        <v>99</v>
      </c>
      <c r="Y118" t="s">
        <v>99</v>
      </c>
      <c r="Z118" t="s">
        <v>99</v>
      </c>
    </row>
    <row r="119" spans="1:26">
      <c r="A119" t="s">
        <v>4801</v>
      </c>
      <c r="B119" t="s">
        <v>94</v>
      </c>
      <c r="C119">
        <v>2017</v>
      </c>
      <c r="D119" t="s">
        <v>822</v>
      </c>
      <c r="E119" t="s">
        <v>823</v>
      </c>
      <c r="F119" t="s">
        <v>824</v>
      </c>
      <c r="G119" t="s">
        <v>99</v>
      </c>
      <c r="H119" t="s">
        <v>99</v>
      </c>
      <c r="I119" t="s">
        <v>825</v>
      </c>
      <c r="J119" t="s">
        <v>99</v>
      </c>
      <c r="K119" t="s">
        <v>156</v>
      </c>
      <c r="L119" s="13">
        <v>44887.363807870373</v>
      </c>
      <c r="M119" s="13">
        <v>44887.363807870373</v>
      </c>
      <c r="N119" s="13"/>
      <c r="O119" t="s">
        <v>826</v>
      </c>
      <c r="P119" t="s">
        <v>99</v>
      </c>
      <c r="Q119" t="s">
        <v>99</v>
      </c>
      <c r="R119" t="s">
        <v>99</v>
      </c>
      <c r="S119" t="s">
        <v>99</v>
      </c>
      <c r="T119" t="s">
        <v>99</v>
      </c>
      <c r="U119" t="s">
        <v>99</v>
      </c>
      <c r="V119" t="s">
        <v>99</v>
      </c>
      <c r="W119" t="s">
        <v>99</v>
      </c>
      <c r="X119" t="s">
        <v>99</v>
      </c>
      <c r="Y119" t="s">
        <v>99</v>
      </c>
      <c r="Z119" t="s">
        <v>99</v>
      </c>
    </row>
    <row r="120" spans="1:26">
      <c r="A120" t="s">
        <v>4802</v>
      </c>
      <c r="B120" t="s">
        <v>94</v>
      </c>
      <c r="C120">
        <v>2015</v>
      </c>
      <c r="D120" t="s">
        <v>798</v>
      </c>
      <c r="E120" t="s">
        <v>799</v>
      </c>
      <c r="F120" t="s">
        <v>800</v>
      </c>
      <c r="G120" t="s">
        <v>99</v>
      </c>
      <c r="H120" t="s">
        <v>99</v>
      </c>
      <c r="I120" t="s">
        <v>801</v>
      </c>
      <c r="J120" t="s">
        <v>99</v>
      </c>
      <c r="K120" t="s">
        <v>564</v>
      </c>
      <c r="L120" s="13">
        <v>44887.363807870373</v>
      </c>
      <c r="M120" s="13">
        <v>44887.363807870373</v>
      </c>
      <c r="N120" s="13"/>
      <c r="O120" t="s">
        <v>802</v>
      </c>
      <c r="P120" t="s">
        <v>99</v>
      </c>
      <c r="Q120" t="s">
        <v>99</v>
      </c>
      <c r="R120" t="s">
        <v>99</v>
      </c>
      <c r="S120" t="s">
        <v>99</v>
      </c>
      <c r="T120" t="s">
        <v>99</v>
      </c>
      <c r="U120" t="s">
        <v>99</v>
      </c>
      <c r="V120" t="s">
        <v>99</v>
      </c>
      <c r="W120" t="s">
        <v>99</v>
      </c>
      <c r="X120" t="s">
        <v>99</v>
      </c>
      <c r="Y120" t="s">
        <v>99</v>
      </c>
      <c r="Z120" t="s">
        <v>99</v>
      </c>
    </row>
    <row r="121" spans="1:26">
      <c r="A121" t="s">
        <v>4803</v>
      </c>
      <c r="B121" t="s">
        <v>94</v>
      </c>
      <c r="C121">
        <v>2020</v>
      </c>
      <c r="D121" t="s">
        <v>771</v>
      </c>
      <c r="E121" t="s">
        <v>772</v>
      </c>
      <c r="F121" t="s">
        <v>773</v>
      </c>
      <c r="G121" t="s">
        <v>99</v>
      </c>
      <c r="H121" t="s">
        <v>99</v>
      </c>
      <c r="I121" t="s">
        <v>774</v>
      </c>
      <c r="J121" t="s">
        <v>99</v>
      </c>
      <c r="K121" t="s">
        <v>176</v>
      </c>
      <c r="L121" s="13">
        <v>44887.363807870373</v>
      </c>
      <c r="M121" s="13">
        <v>44887.363807870373</v>
      </c>
      <c r="N121" s="13"/>
      <c r="O121" t="s">
        <v>672</v>
      </c>
      <c r="P121" t="s">
        <v>99</v>
      </c>
      <c r="Q121" t="s">
        <v>99</v>
      </c>
      <c r="R121" t="s">
        <v>99</v>
      </c>
      <c r="S121" t="s">
        <v>99</v>
      </c>
      <c r="T121" t="s">
        <v>99</v>
      </c>
      <c r="U121" t="s">
        <v>99</v>
      </c>
      <c r="V121" t="s">
        <v>99</v>
      </c>
      <c r="W121" t="s">
        <v>99</v>
      </c>
      <c r="X121" t="s">
        <v>99</v>
      </c>
      <c r="Y121" t="s">
        <v>99</v>
      </c>
      <c r="Z121" t="s">
        <v>99</v>
      </c>
    </row>
    <row r="122" spans="1:26">
      <c r="A122" t="s">
        <v>4804</v>
      </c>
      <c r="B122" t="s">
        <v>94</v>
      </c>
      <c r="C122">
        <v>2012</v>
      </c>
      <c r="D122" t="s">
        <v>762</v>
      </c>
      <c r="E122" t="s">
        <v>763</v>
      </c>
      <c r="F122" t="s">
        <v>764</v>
      </c>
      <c r="G122" t="s">
        <v>99</v>
      </c>
      <c r="H122" t="s">
        <v>99</v>
      </c>
      <c r="I122" t="s">
        <v>765</v>
      </c>
      <c r="J122" t="s">
        <v>99</v>
      </c>
      <c r="K122" t="s">
        <v>351</v>
      </c>
      <c r="L122" s="13">
        <v>44887.363807870373</v>
      </c>
      <c r="M122" s="13">
        <v>44887.363807870373</v>
      </c>
      <c r="N122" s="13"/>
      <c r="O122" t="s">
        <v>766</v>
      </c>
      <c r="P122" t="s">
        <v>99</v>
      </c>
      <c r="Q122" t="s">
        <v>182</v>
      </c>
      <c r="R122" t="s">
        <v>99</v>
      </c>
      <c r="S122" t="s">
        <v>99</v>
      </c>
      <c r="T122" t="s">
        <v>99</v>
      </c>
      <c r="U122" t="s">
        <v>99</v>
      </c>
      <c r="V122" t="s">
        <v>99</v>
      </c>
      <c r="W122" t="s">
        <v>99</v>
      </c>
      <c r="X122" t="s">
        <v>99</v>
      </c>
      <c r="Y122" t="s">
        <v>99</v>
      </c>
      <c r="Z122" t="s">
        <v>99</v>
      </c>
    </row>
    <row r="123" spans="1:26">
      <c r="A123" t="s">
        <v>4805</v>
      </c>
      <c r="B123" t="s">
        <v>94</v>
      </c>
      <c r="C123">
        <v>2019</v>
      </c>
      <c r="D123" t="s">
        <v>738</v>
      </c>
      <c r="E123" t="s">
        <v>739</v>
      </c>
      <c r="F123" t="s">
        <v>740</v>
      </c>
      <c r="G123" t="s">
        <v>99</v>
      </c>
      <c r="H123" t="s">
        <v>99</v>
      </c>
      <c r="I123" t="s">
        <v>741</v>
      </c>
      <c r="J123" t="s">
        <v>99</v>
      </c>
      <c r="K123" t="s">
        <v>271</v>
      </c>
      <c r="L123" s="13">
        <v>44887.363807870373</v>
      </c>
      <c r="M123" s="13">
        <v>44887.363807870373</v>
      </c>
      <c r="N123" s="13"/>
      <c r="O123" t="s">
        <v>672</v>
      </c>
      <c r="P123" t="s">
        <v>99</v>
      </c>
      <c r="Q123" t="s">
        <v>99</v>
      </c>
      <c r="R123" t="s">
        <v>99</v>
      </c>
      <c r="S123" t="s">
        <v>99</v>
      </c>
      <c r="T123" t="s">
        <v>99</v>
      </c>
      <c r="U123" t="s">
        <v>99</v>
      </c>
      <c r="V123" t="s">
        <v>99</v>
      </c>
      <c r="W123" t="s">
        <v>99</v>
      </c>
      <c r="X123" t="s">
        <v>99</v>
      </c>
      <c r="Y123" t="s">
        <v>99</v>
      </c>
      <c r="Z123" t="s">
        <v>99</v>
      </c>
    </row>
    <row r="124" spans="1:26">
      <c r="A124" t="s">
        <v>4806</v>
      </c>
      <c r="B124" t="s">
        <v>94</v>
      </c>
      <c r="C124">
        <v>2006</v>
      </c>
      <c r="D124" t="s">
        <v>727</v>
      </c>
      <c r="E124" t="s">
        <v>728</v>
      </c>
      <c r="F124" t="s">
        <v>729</v>
      </c>
      <c r="G124" t="s">
        <v>99</v>
      </c>
      <c r="H124" t="s">
        <v>99</v>
      </c>
      <c r="I124" t="s">
        <v>730</v>
      </c>
      <c r="J124" t="s">
        <v>99</v>
      </c>
      <c r="K124" t="s">
        <v>279</v>
      </c>
      <c r="L124" s="13">
        <v>44887.363807870373</v>
      </c>
      <c r="M124" s="13">
        <v>44887.363807870373</v>
      </c>
      <c r="N124" s="13"/>
      <c r="O124" t="s">
        <v>731</v>
      </c>
      <c r="P124" t="s">
        <v>99</v>
      </c>
      <c r="Q124" t="s">
        <v>99</v>
      </c>
      <c r="R124" t="s">
        <v>99</v>
      </c>
      <c r="S124" t="s">
        <v>99</v>
      </c>
      <c r="T124" t="s">
        <v>99</v>
      </c>
      <c r="U124" t="s">
        <v>99</v>
      </c>
      <c r="V124" t="s">
        <v>99</v>
      </c>
      <c r="W124" t="s">
        <v>99</v>
      </c>
      <c r="X124" t="s">
        <v>99</v>
      </c>
      <c r="Y124" t="s">
        <v>99</v>
      </c>
      <c r="Z124" t="s">
        <v>99</v>
      </c>
    </row>
    <row r="125" spans="1:26">
      <c r="A125" t="s">
        <v>4807</v>
      </c>
      <c r="B125" t="s">
        <v>94</v>
      </c>
      <c r="C125">
        <v>2019</v>
      </c>
      <c r="D125" t="s">
        <v>718</v>
      </c>
      <c r="E125" t="s">
        <v>719</v>
      </c>
      <c r="F125" t="s">
        <v>720</v>
      </c>
      <c r="G125" t="s">
        <v>99</v>
      </c>
      <c r="H125" t="s">
        <v>99</v>
      </c>
      <c r="I125" t="s">
        <v>721</v>
      </c>
      <c r="J125" t="s">
        <v>99</v>
      </c>
      <c r="K125" t="s">
        <v>271</v>
      </c>
      <c r="L125" s="13">
        <v>44887.363807870373</v>
      </c>
      <c r="M125" s="13">
        <v>44887.363807870373</v>
      </c>
      <c r="N125" s="13"/>
      <c r="O125" t="s">
        <v>722</v>
      </c>
      <c r="P125" t="s">
        <v>99</v>
      </c>
      <c r="Q125" t="s">
        <v>99</v>
      </c>
      <c r="R125" t="s">
        <v>99</v>
      </c>
      <c r="S125" t="s">
        <v>99</v>
      </c>
      <c r="T125" t="s">
        <v>99</v>
      </c>
      <c r="U125" t="s">
        <v>99</v>
      </c>
      <c r="V125" t="s">
        <v>99</v>
      </c>
      <c r="W125" t="s">
        <v>99</v>
      </c>
      <c r="X125" t="s">
        <v>99</v>
      </c>
      <c r="Y125" t="s">
        <v>99</v>
      </c>
      <c r="Z125" t="s">
        <v>99</v>
      </c>
    </row>
    <row r="126" spans="1:26">
      <c r="A126" t="s">
        <v>4808</v>
      </c>
      <c r="B126" t="s">
        <v>94</v>
      </c>
      <c r="C126">
        <v>2021</v>
      </c>
      <c r="D126" t="s">
        <v>767</v>
      </c>
      <c r="E126" t="s">
        <v>768</v>
      </c>
      <c r="F126" t="s">
        <v>659</v>
      </c>
      <c r="G126" t="s">
        <v>99</v>
      </c>
      <c r="H126" t="s">
        <v>99</v>
      </c>
      <c r="I126" t="s">
        <v>769</v>
      </c>
      <c r="J126" t="s">
        <v>99</v>
      </c>
      <c r="K126" t="s">
        <v>113</v>
      </c>
      <c r="L126" s="13">
        <v>44887.363807870373</v>
      </c>
      <c r="M126" s="13">
        <v>44887.363807870373</v>
      </c>
      <c r="N126" s="13"/>
      <c r="O126" t="s">
        <v>770</v>
      </c>
      <c r="P126" t="s">
        <v>99</v>
      </c>
      <c r="Q126" t="s">
        <v>99</v>
      </c>
      <c r="R126" t="s">
        <v>99</v>
      </c>
      <c r="S126" t="s">
        <v>99</v>
      </c>
      <c r="T126" t="s">
        <v>99</v>
      </c>
      <c r="U126" t="s">
        <v>99</v>
      </c>
      <c r="V126" t="s">
        <v>99</v>
      </c>
      <c r="W126" t="s">
        <v>99</v>
      </c>
      <c r="X126" t="s">
        <v>99</v>
      </c>
      <c r="Y126" t="s">
        <v>99</v>
      </c>
      <c r="Z126" t="s">
        <v>99</v>
      </c>
    </row>
    <row r="127" spans="1:26">
      <c r="A127" t="s">
        <v>4809</v>
      </c>
      <c r="B127" t="s">
        <v>94</v>
      </c>
      <c r="C127">
        <v>2018</v>
      </c>
      <c r="D127" t="s">
        <v>757</v>
      </c>
      <c r="E127" t="s">
        <v>758</v>
      </c>
      <c r="F127" t="s">
        <v>759</v>
      </c>
      <c r="G127" t="s">
        <v>99</v>
      </c>
      <c r="H127" t="s">
        <v>99</v>
      </c>
      <c r="I127" t="s">
        <v>760</v>
      </c>
      <c r="J127" t="s">
        <v>99</v>
      </c>
      <c r="K127" t="s">
        <v>384</v>
      </c>
      <c r="L127" s="13">
        <v>44887.363807870373</v>
      </c>
      <c r="M127" s="13">
        <v>44887.363807870373</v>
      </c>
      <c r="N127" s="13"/>
      <c r="O127" t="s">
        <v>761</v>
      </c>
      <c r="P127" t="s">
        <v>99</v>
      </c>
      <c r="Q127" t="s">
        <v>182</v>
      </c>
      <c r="R127" t="s">
        <v>99</v>
      </c>
      <c r="S127" t="s">
        <v>99</v>
      </c>
      <c r="T127" t="s">
        <v>99</v>
      </c>
      <c r="U127" t="s">
        <v>99</v>
      </c>
      <c r="V127" t="s">
        <v>99</v>
      </c>
      <c r="W127" t="s">
        <v>99</v>
      </c>
      <c r="X127" t="s">
        <v>99</v>
      </c>
      <c r="Y127" t="s">
        <v>99</v>
      </c>
      <c r="Z127" t="s">
        <v>99</v>
      </c>
    </row>
    <row r="128" spans="1:26">
      <c r="A128" t="s">
        <v>4810</v>
      </c>
      <c r="B128" t="s">
        <v>135</v>
      </c>
      <c r="C128">
        <v>2001</v>
      </c>
      <c r="D128" t="s">
        <v>751</v>
      </c>
      <c r="E128" t="s">
        <v>752</v>
      </c>
      <c r="F128" t="s">
        <v>753</v>
      </c>
      <c r="G128" t="s">
        <v>99</v>
      </c>
      <c r="H128" t="s">
        <v>99</v>
      </c>
      <c r="I128" t="s">
        <v>754</v>
      </c>
      <c r="J128" t="s">
        <v>99</v>
      </c>
      <c r="K128" t="s">
        <v>755</v>
      </c>
      <c r="L128" s="13">
        <v>44887.363807870373</v>
      </c>
      <c r="M128" s="13">
        <v>44887.363807870373</v>
      </c>
      <c r="N128" s="13"/>
      <c r="O128" t="s">
        <v>756</v>
      </c>
      <c r="P128" t="s">
        <v>402</v>
      </c>
      <c r="Q128" t="s">
        <v>4552</v>
      </c>
      <c r="R128" t="s">
        <v>99</v>
      </c>
      <c r="S128" t="s">
        <v>99</v>
      </c>
      <c r="T128" t="s">
        <v>99</v>
      </c>
      <c r="U128" t="s">
        <v>99</v>
      </c>
      <c r="V128" t="s">
        <v>99</v>
      </c>
      <c r="W128" t="s">
        <v>99</v>
      </c>
      <c r="X128" t="s">
        <v>99</v>
      </c>
      <c r="Y128" t="s">
        <v>99</v>
      </c>
      <c r="Z128" t="s">
        <v>99</v>
      </c>
    </row>
    <row r="129" spans="1:26">
      <c r="A129" t="s">
        <v>4811</v>
      </c>
      <c r="B129" t="s">
        <v>135</v>
      </c>
      <c r="C129">
        <v>2022</v>
      </c>
      <c r="D129" t="s">
        <v>742</v>
      </c>
      <c r="E129" t="s">
        <v>743</v>
      </c>
      <c r="F129" t="s">
        <v>744</v>
      </c>
      <c r="G129" t="s">
        <v>99</v>
      </c>
      <c r="H129" t="s">
        <v>99</v>
      </c>
      <c r="I129" t="s">
        <v>745</v>
      </c>
      <c r="J129" t="s">
        <v>99</v>
      </c>
      <c r="K129" t="s">
        <v>123</v>
      </c>
      <c r="L129" s="13">
        <v>44887.363807870373</v>
      </c>
      <c r="M129" s="13">
        <v>44887.363807870373</v>
      </c>
      <c r="N129" s="13"/>
      <c r="O129" t="s">
        <v>687</v>
      </c>
      <c r="P129" t="s">
        <v>99</v>
      </c>
      <c r="Q129" t="s">
        <v>99</v>
      </c>
      <c r="R129" t="s">
        <v>99</v>
      </c>
      <c r="S129" t="s">
        <v>99</v>
      </c>
      <c r="T129" t="s">
        <v>99</v>
      </c>
      <c r="U129" t="s">
        <v>99</v>
      </c>
      <c r="V129" t="s">
        <v>99</v>
      </c>
      <c r="W129" t="s">
        <v>99</v>
      </c>
      <c r="X129" t="s">
        <v>99</v>
      </c>
      <c r="Y129" t="s">
        <v>99</v>
      </c>
      <c r="Z129" t="s">
        <v>99</v>
      </c>
    </row>
    <row r="130" spans="1:26">
      <c r="A130" t="s">
        <v>4812</v>
      </c>
      <c r="B130" t="s">
        <v>94</v>
      </c>
      <c r="C130">
        <v>2008</v>
      </c>
      <c r="D130" t="s">
        <v>732</v>
      </c>
      <c r="E130" t="s">
        <v>733</v>
      </c>
      <c r="F130" t="s">
        <v>734</v>
      </c>
      <c r="G130" t="s">
        <v>99</v>
      </c>
      <c r="H130" t="s">
        <v>99</v>
      </c>
      <c r="I130" t="s">
        <v>735</v>
      </c>
      <c r="J130" t="s">
        <v>99</v>
      </c>
      <c r="K130" t="s">
        <v>736</v>
      </c>
      <c r="L130" s="13">
        <v>44887.363807870373</v>
      </c>
      <c r="M130" s="13">
        <v>44887.363807870373</v>
      </c>
      <c r="N130" s="13"/>
      <c r="O130" t="s">
        <v>737</v>
      </c>
      <c r="P130" t="s">
        <v>99</v>
      </c>
      <c r="Q130" t="s">
        <v>99</v>
      </c>
      <c r="R130" t="s">
        <v>99</v>
      </c>
      <c r="S130" t="s">
        <v>99</v>
      </c>
      <c r="T130" t="s">
        <v>99</v>
      </c>
      <c r="U130" t="s">
        <v>99</v>
      </c>
      <c r="V130" t="s">
        <v>99</v>
      </c>
      <c r="W130" t="s">
        <v>99</v>
      </c>
      <c r="X130" t="s">
        <v>99</v>
      </c>
      <c r="Y130" t="s">
        <v>99</v>
      </c>
      <c r="Z130" t="s">
        <v>99</v>
      </c>
    </row>
    <row r="131" spans="1:26">
      <c r="A131" t="s">
        <v>4813</v>
      </c>
      <c r="B131" t="s">
        <v>706</v>
      </c>
      <c r="C131">
        <v>2021</v>
      </c>
      <c r="D131" t="s">
        <v>707</v>
      </c>
      <c r="E131" t="s">
        <v>99</v>
      </c>
      <c r="F131" t="s">
        <v>99</v>
      </c>
      <c r="G131" t="s">
        <v>99</v>
      </c>
      <c r="H131" t="s">
        <v>99</v>
      </c>
      <c r="I131" t="s">
        <v>99</v>
      </c>
      <c r="J131" t="s">
        <v>99</v>
      </c>
      <c r="K131" t="s">
        <v>113</v>
      </c>
      <c r="L131" s="13">
        <v>44887.363807870373</v>
      </c>
      <c r="M131" s="13">
        <v>44887.363807870373</v>
      </c>
      <c r="N131" s="13"/>
      <c r="O131" t="s">
        <v>99</v>
      </c>
      <c r="P131" t="s">
        <v>99</v>
      </c>
      <c r="Q131" t="s">
        <v>99</v>
      </c>
      <c r="R131" t="s">
        <v>99</v>
      </c>
      <c r="S131" t="s">
        <v>99</v>
      </c>
      <c r="T131" t="s">
        <v>99</v>
      </c>
      <c r="U131" t="s">
        <v>99</v>
      </c>
      <c r="V131" t="s">
        <v>99</v>
      </c>
      <c r="W131" t="s">
        <v>99</v>
      </c>
      <c r="X131" t="s">
        <v>708</v>
      </c>
      <c r="Y131" t="s">
        <v>99</v>
      </c>
      <c r="Z131" t="s">
        <v>99</v>
      </c>
    </row>
    <row r="132" spans="1:26">
      <c r="A132" t="s">
        <v>4814</v>
      </c>
      <c r="B132" t="s">
        <v>135</v>
      </c>
      <c r="C132">
        <v>2021</v>
      </c>
      <c r="D132" t="s">
        <v>713</v>
      </c>
      <c r="E132" t="s">
        <v>714</v>
      </c>
      <c r="F132" t="s">
        <v>715</v>
      </c>
      <c r="G132" t="s">
        <v>99</v>
      </c>
      <c r="H132" t="s">
        <v>99</v>
      </c>
      <c r="I132" t="s">
        <v>716</v>
      </c>
      <c r="J132" t="s">
        <v>99</v>
      </c>
      <c r="K132" t="s">
        <v>113</v>
      </c>
      <c r="L132" s="13">
        <v>44887.363807870373</v>
      </c>
      <c r="M132" s="13">
        <v>44887.363807870373</v>
      </c>
      <c r="N132" s="13"/>
      <c r="O132" t="s">
        <v>717</v>
      </c>
      <c r="P132" t="s">
        <v>182</v>
      </c>
      <c r="Q132" t="s">
        <v>4762</v>
      </c>
      <c r="R132" t="s">
        <v>99</v>
      </c>
      <c r="S132" t="s">
        <v>99</v>
      </c>
      <c r="T132" t="s">
        <v>99</v>
      </c>
      <c r="U132" t="s">
        <v>99</v>
      </c>
      <c r="V132" t="s">
        <v>99</v>
      </c>
      <c r="W132" t="s">
        <v>99</v>
      </c>
      <c r="X132" t="s">
        <v>99</v>
      </c>
      <c r="Y132" t="s">
        <v>99</v>
      </c>
      <c r="Z132" t="s">
        <v>99</v>
      </c>
    </row>
    <row r="133" spans="1:26">
      <c r="A133" t="s">
        <v>4815</v>
      </c>
      <c r="B133" t="s">
        <v>135</v>
      </c>
      <c r="C133">
        <v>2010</v>
      </c>
      <c r="D133" t="s">
        <v>709</v>
      </c>
      <c r="E133" t="s">
        <v>710</v>
      </c>
      <c r="F133" t="s">
        <v>664</v>
      </c>
      <c r="G133" t="s">
        <v>99</v>
      </c>
      <c r="H133" t="s">
        <v>99</v>
      </c>
      <c r="I133" t="s">
        <v>711</v>
      </c>
      <c r="J133" t="s">
        <v>99</v>
      </c>
      <c r="K133" t="s">
        <v>130</v>
      </c>
      <c r="L133" s="13">
        <v>44887.363807870373</v>
      </c>
      <c r="M133" s="13">
        <v>44887.363807870373</v>
      </c>
      <c r="N133" s="13"/>
      <c r="O133" t="s">
        <v>712</v>
      </c>
      <c r="P133" t="s">
        <v>363</v>
      </c>
      <c r="Q133" t="s">
        <v>4549</v>
      </c>
      <c r="R133" t="s">
        <v>99</v>
      </c>
      <c r="S133" t="s">
        <v>99</v>
      </c>
      <c r="T133" t="s">
        <v>99</v>
      </c>
      <c r="U133" t="s">
        <v>99</v>
      </c>
      <c r="V133" t="s">
        <v>99</v>
      </c>
      <c r="W133" t="s">
        <v>99</v>
      </c>
      <c r="X133" t="s">
        <v>99</v>
      </c>
      <c r="Y133" t="s">
        <v>99</v>
      </c>
      <c r="Z133" t="s">
        <v>99</v>
      </c>
    </row>
    <row r="134" spans="1:26">
      <c r="A134" t="s">
        <v>4816</v>
      </c>
      <c r="B134" t="s">
        <v>94</v>
      </c>
      <c r="C134">
        <v>2016</v>
      </c>
      <c r="D134" t="s">
        <v>634</v>
      </c>
      <c r="E134" t="s">
        <v>702</v>
      </c>
      <c r="F134" t="s">
        <v>703</v>
      </c>
      <c r="G134" t="s">
        <v>99</v>
      </c>
      <c r="H134" t="s">
        <v>99</v>
      </c>
      <c r="I134" t="s">
        <v>704</v>
      </c>
      <c r="J134" t="s">
        <v>99</v>
      </c>
      <c r="K134" t="s">
        <v>331</v>
      </c>
      <c r="L134" s="13">
        <v>44887.363807870373</v>
      </c>
      <c r="M134" s="13">
        <v>44887.363807870373</v>
      </c>
      <c r="N134" s="13"/>
      <c r="O134" t="s">
        <v>705</v>
      </c>
      <c r="P134" t="s">
        <v>99</v>
      </c>
      <c r="Q134" t="s">
        <v>99</v>
      </c>
      <c r="R134" t="s">
        <v>99</v>
      </c>
      <c r="S134" t="s">
        <v>99</v>
      </c>
      <c r="T134" t="s">
        <v>99</v>
      </c>
      <c r="U134" t="s">
        <v>99</v>
      </c>
      <c r="V134" t="s">
        <v>99</v>
      </c>
      <c r="W134" t="s">
        <v>99</v>
      </c>
      <c r="X134" t="s">
        <v>99</v>
      </c>
      <c r="Y134" t="s">
        <v>99</v>
      </c>
      <c r="Z134" t="s">
        <v>99</v>
      </c>
    </row>
    <row r="135" spans="1:26">
      <c r="A135" t="s">
        <v>4817</v>
      </c>
      <c r="B135" t="s">
        <v>94</v>
      </c>
      <c r="C135">
        <v>1995</v>
      </c>
      <c r="D135" t="s">
        <v>4818</v>
      </c>
      <c r="E135" t="s">
        <v>4819</v>
      </c>
      <c r="F135" t="s">
        <v>4820</v>
      </c>
      <c r="G135" t="s">
        <v>99</v>
      </c>
      <c r="H135" t="s">
        <v>99</v>
      </c>
      <c r="I135" t="s">
        <v>4821</v>
      </c>
      <c r="J135" t="s">
        <v>99</v>
      </c>
      <c r="K135" t="s">
        <v>165</v>
      </c>
      <c r="L135" s="13">
        <v>44887.363807870373</v>
      </c>
      <c r="M135" s="13">
        <v>44887.363807870373</v>
      </c>
      <c r="N135" s="13"/>
      <c r="O135" t="s">
        <v>4822</v>
      </c>
      <c r="P135" t="s">
        <v>99</v>
      </c>
      <c r="Q135" t="s">
        <v>99</v>
      </c>
      <c r="R135" t="s">
        <v>99</v>
      </c>
      <c r="S135" t="s">
        <v>99</v>
      </c>
      <c r="T135" t="s">
        <v>99</v>
      </c>
      <c r="U135" t="s">
        <v>99</v>
      </c>
      <c r="V135" t="s">
        <v>99</v>
      </c>
      <c r="W135" t="s">
        <v>99</v>
      </c>
      <c r="X135" t="s">
        <v>99</v>
      </c>
      <c r="Y135" t="s">
        <v>99</v>
      </c>
      <c r="Z135" t="s">
        <v>99</v>
      </c>
    </row>
    <row r="136" spans="1:26">
      <c r="A136" t="s">
        <v>4823</v>
      </c>
      <c r="B136" t="s">
        <v>94</v>
      </c>
      <c r="C136">
        <v>2022</v>
      </c>
      <c r="D136" t="s">
        <v>697</v>
      </c>
      <c r="E136" t="s">
        <v>698</v>
      </c>
      <c r="F136" t="s">
        <v>699</v>
      </c>
      <c r="G136" t="s">
        <v>99</v>
      </c>
      <c r="H136" t="s">
        <v>99</v>
      </c>
      <c r="I136" t="s">
        <v>700</v>
      </c>
      <c r="J136" t="s">
        <v>99</v>
      </c>
      <c r="K136" t="s">
        <v>123</v>
      </c>
      <c r="L136" s="13">
        <v>44887.363807870373</v>
      </c>
      <c r="M136" s="13">
        <v>44887.363807870373</v>
      </c>
      <c r="N136" s="13"/>
      <c r="O136" t="s">
        <v>701</v>
      </c>
      <c r="P136" t="s">
        <v>99</v>
      </c>
      <c r="Q136" t="s">
        <v>99</v>
      </c>
      <c r="R136" t="s">
        <v>99</v>
      </c>
      <c r="S136" t="s">
        <v>99</v>
      </c>
      <c r="T136" t="s">
        <v>99</v>
      </c>
      <c r="U136" t="s">
        <v>99</v>
      </c>
      <c r="V136" t="s">
        <v>99</v>
      </c>
      <c r="W136" t="s">
        <v>99</v>
      </c>
      <c r="X136" t="s">
        <v>99</v>
      </c>
      <c r="Y136" t="s">
        <v>99</v>
      </c>
      <c r="Z136" t="s">
        <v>99</v>
      </c>
    </row>
    <row r="137" spans="1:26">
      <c r="A137" t="s">
        <v>4824</v>
      </c>
      <c r="B137" t="s">
        <v>135</v>
      </c>
      <c r="C137">
        <v>2022</v>
      </c>
      <c r="D137" t="s">
        <v>693</v>
      </c>
      <c r="E137" t="s">
        <v>694</v>
      </c>
      <c r="F137" t="s">
        <v>675</v>
      </c>
      <c r="G137" t="s">
        <v>99</v>
      </c>
      <c r="H137" t="s">
        <v>99</v>
      </c>
      <c r="I137" t="s">
        <v>695</v>
      </c>
      <c r="J137" t="s">
        <v>99</v>
      </c>
      <c r="K137" t="s">
        <v>123</v>
      </c>
      <c r="L137" s="13">
        <v>44887.363807870373</v>
      </c>
      <c r="M137" s="13">
        <v>44887.363807870373</v>
      </c>
      <c r="N137" s="13"/>
      <c r="O137" t="s">
        <v>696</v>
      </c>
      <c r="P137" t="s">
        <v>99</v>
      </c>
      <c r="Q137" t="s">
        <v>2668</v>
      </c>
      <c r="R137" t="s">
        <v>99</v>
      </c>
      <c r="S137" t="s">
        <v>99</v>
      </c>
      <c r="T137" t="s">
        <v>99</v>
      </c>
      <c r="U137" t="s">
        <v>99</v>
      </c>
      <c r="V137" t="s">
        <v>99</v>
      </c>
      <c r="W137" t="s">
        <v>99</v>
      </c>
      <c r="X137" t="s">
        <v>99</v>
      </c>
      <c r="Y137" t="s">
        <v>99</v>
      </c>
      <c r="Z137" t="s">
        <v>99</v>
      </c>
    </row>
    <row r="138" spans="1:26">
      <c r="A138" t="s">
        <v>4825</v>
      </c>
      <c r="B138" t="s">
        <v>94</v>
      </c>
      <c r="C138">
        <v>2021</v>
      </c>
      <c r="D138" t="s">
        <v>688</v>
      </c>
      <c r="E138" t="s">
        <v>689</v>
      </c>
      <c r="F138" t="s">
        <v>690</v>
      </c>
      <c r="G138" t="s">
        <v>99</v>
      </c>
      <c r="H138" t="s">
        <v>99</v>
      </c>
      <c r="I138" t="s">
        <v>691</v>
      </c>
      <c r="J138" t="s">
        <v>99</v>
      </c>
      <c r="K138" t="s">
        <v>113</v>
      </c>
      <c r="L138" s="13">
        <v>44887.363807870373</v>
      </c>
      <c r="M138" s="13">
        <v>44887.363807870373</v>
      </c>
      <c r="N138" s="13"/>
      <c r="O138" t="s">
        <v>692</v>
      </c>
      <c r="P138" t="s">
        <v>99</v>
      </c>
      <c r="Q138" t="s">
        <v>99</v>
      </c>
      <c r="R138" t="s">
        <v>99</v>
      </c>
      <c r="S138" t="s">
        <v>99</v>
      </c>
      <c r="T138" t="s">
        <v>99</v>
      </c>
      <c r="U138" t="s">
        <v>99</v>
      </c>
      <c r="V138" t="s">
        <v>99</v>
      </c>
      <c r="W138" t="s">
        <v>99</v>
      </c>
      <c r="X138" t="s">
        <v>99</v>
      </c>
      <c r="Y138" t="s">
        <v>99</v>
      </c>
      <c r="Z138" t="s">
        <v>99</v>
      </c>
    </row>
    <row r="139" spans="1:26">
      <c r="A139" t="s">
        <v>4826</v>
      </c>
      <c r="B139" t="s">
        <v>94</v>
      </c>
      <c r="C139">
        <v>2020</v>
      </c>
      <c r="D139" t="s">
        <v>683</v>
      </c>
      <c r="E139" t="s">
        <v>684</v>
      </c>
      <c r="F139" t="s">
        <v>685</v>
      </c>
      <c r="G139" t="s">
        <v>99</v>
      </c>
      <c r="H139" t="s">
        <v>99</v>
      </c>
      <c r="I139" t="s">
        <v>686</v>
      </c>
      <c r="J139" t="s">
        <v>99</v>
      </c>
      <c r="K139" t="s">
        <v>176</v>
      </c>
      <c r="L139" s="13">
        <v>44887.363807870373</v>
      </c>
      <c r="M139" s="13">
        <v>44887.363807870373</v>
      </c>
      <c r="N139" s="13"/>
      <c r="O139" t="s">
        <v>687</v>
      </c>
      <c r="P139" t="s">
        <v>99</v>
      </c>
      <c r="Q139" t="s">
        <v>99</v>
      </c>
      <c r="R139" t="s">
        <v>99</v>
      </c>
      <c r="S139" t="s">
        <v>99</v>
      </c>
      <c r="T139" t="s">
        <v>99</v>
      </c>
      <c r="U139" t="s">
        <v>99</v>
      </c>
      <c r="V139" t="s">
        <v>99</v>
      </c>
      <c r="W139" t="s">
        <v>99</v>
      </c>
      <c r="X139" t="s">
        <v>99</v>
      </c>
      <c r="Y139" t="s">
        <v>99</v>
      </c>
      <c r="Z139" t="s">
        <v>99</v>
      </c>
    </row>
    <row r="140" spans="1:26">
      <c r="A140" t="s">
        <v>4827</v>
      </c>
      <c r="B140" t="s">
        <v>94</v>
      </c>
      <c r="C140">
        <v>2020</v>
      </c>
      <c r="D140" t="s">
        <v>678</v>
      </c>
      <c r="E140" t="s">
        <v>679</v>
      </c>
      <c r="F140" t="s">
        <v>680</v>
      </c>
      <c r="G140" t="s">
        <v>99</v>
      </c>
      <c r="H140" t="s">
        <v>99</v>
      </c>
      <c r="I140" t="s">
        <v>681</v>
      </c>
      <c r="J140" t="s">
        <v>99</v>
      </c>
      <c r="K140" t="s">
        <v>176</v>
      </c>
      <c r="L140" s="13">
        <v>44887.363807870373</v>
      </c>
      <c r="M140" s="13">
        <v>44887.363807870373</v>
      </c>
      <c r="N140" s="13"/>
      <c r="O140" t="s">
        <v>682</v>
      </c>
      <c r="P140" t="s">
        <v>99</v>
      </c>
      <c r="Q140" t="s">
        <v>99</v>
      </c>
      <c r="R140" t="s">
        <v>99</v>
      </c>
      <c r="S140" t="s">
        <v>99</v>
      </c>
      <c r="T140" t="s">
        <v>99</v>
      </c>
      <c r="U140" t="s">
        <v>99</v>
      </c>
      <c r="V140" t="s">
        <v>99</v>
      </c>
      <c r="W140" t="s">
        <v>99</v>
      </c>
      <c r="X140" t="s">
        <v>99</v>
      </c>
      <c r="Y140" t="s">
        <v>99</v>
      </c>
      <c r="Z140" t="s">
        <v>99</v>
      </c>
    </row>
    <row r="141" spans="1:26">
      <c r="A141" t="s">
        <v>4828</v>
      </c>
      <c r="B141" t="s">
        <v>94</v>
      </c>
      <c r="C141">
        <v>2021</v>
      </c>
      <c r="D141" t="s">
        <v>668</v>
      </c>
      <c r="E141" t="s">
        <v>669</v>
      </c>
      <c r="F141" t="s">
        <v>670</v>
      </c>
      <c r="G141" t="s">
        <v>99</v>
      </c>
      <c r="H141" t="s">
        <v>99</v>
      </c>
      <c r="I141" t="s">
        <v>671</v>
      </c>
      <c r="J141" t="s">
        <v>99</v>
      </c>
      <c r="K141" t="s">
        <v>113</v>
      </c>
      <c r="L141" s="13">
        <v>44887.363807870373</v>
      </c>
      <c r="M141" s="13">
        <v>44887.363807870373</v>
      </c>
      <c r="N141" s="13"/>
      <c r="O141" t="s">
        <v>672</v>
      </c>
      <c r="P141" t="s">
        <v>99</v>
      </c>
      <c r="Q141" t="s">
        <v>99</v>
      </c>
      <c r="R141" t="s">
        <v>99</v>
      </c>
      <c r="S141" t="s">
        <v>99</v>
      </c>
      <c r="T141" t="s">
        <v>99</v>
      </c>
      <c r="U141" t="s">
        <v>99</v>
      </c>
      <c r="V141" t="s">
        <v>99</v>
      </c>
      <c r="W141" t="s">
        <v>99</v>
      </c>
      <c r="X141" t="s">
        <v>99</v>
      </c>
      <c r="Y141" t="s">
        <v>99</v>
      </c>
      <c r="Z141" t="s">
        <v>99</v>
      </c>
    </row>
    <row r="142" spans="1:26">
      <c r="A142" t="s">
        <v>4829</v>
      </c>
      <c r="B142" t="s">
        <v>94</v>
      </c>
      <c r="C142">
        <v>2019</v>
      </c>
      <c r="D142" t="s">
        <v>647</v>
      </c>
      <c r="E142" t="s">
        <v>648</v>
      </c>
      <c r="F142" t="s">
        <v>649</v>
      </c>
      <c r="G142" t="s">
        <v>99</v>
      </c>
      <c r="H142" t="s">
        <v>99</v>
      </c>
      <c r="I142" t="s">
        <v>650</v>
      </c>
      <c r="J142" t="s">
        <v>99</v>
      </c>
      <c r="K142" t="s">
        <v>271</v>
      </c>
      <c r="L142" s="13">
        <v>44887.363807870373</v>
      </c>
      <c r="M142" s="13">
        <v>44887.363807870373</v>
      </c>
      <c r="N142" s="13"/>
      <c r="O142" t="s">
        <v>651</v>
      </c>
      <c r="P142" t="s">
        <v>99</v>
      </c>
      <c r="Q142" t="s">
        <v>99</v>
      </c>
      <c r="R142" t="s">
        <v>99</v>
      </c>
      <c r="S142" t="s">
        <v>99</v>
      </c>
      <c r="T142" t="s">
        <v>99</v>
      </c>
      <c r="U142" t="s">
        <v>99</v>
      </c>
      <c r="V142" t="s">
        <v>99</v>
      </c>
      <c r="W142" t="s">
        <v>99</v>
      </c>
      <c r="X142" t="s">
        <v>99</v>
      </c>
      <c r="Y142" t="s">
        <v>99</v>
      </c>
      <c r="Z142" t="s">
        <v>99</v>
      </c>
    </row>
    <row r="143" spans="1:26">
      <c r="A143" t="s">
        <v>4830</v>
      </c>
      <c r="B143" t="s">
        <v>94</v>
      </c>
      <c r="C143">
        <v>2021</v>
      </c>
      <c r="D143" t="s">
        <v>642</v>
      </c>
      <c r="E143" t="s">
        <v>643</v>
      </c>
      <c r="F143" t="s">
        <v>644</v>
      </c>
      <c r="G143" t="s">
        <v>99</v>
      </c>
      <c r="H143" t="s">
        <v>99</v>
      </c>
      <c r="I143" t="s">
        <v>645</v>
      </c>
      <c r="J143" t="s">
        <v>99</v>
      </c>
      <c r="K143" t="s">
        <v>113</v>
      </c>
      <c r="L143" s="13">
        <v>44887.363807870373</v>
      </c>
      <c r="M143" s="13">
        <v>44887.363807870373</v>
      </c>
      <c r="N143" s="13"/>
      <c r="O143" t="s">
        <v>646</v>
      </c>
      <c r="P143" t="s">
        <v>99</v>
      </c>
      <c r="Q143" t="s">
        <v>99</v>
      </c>
      <c r="R143" t="s">
        <v>99</v>
      </c>
      <c r="S143" t="s">
        <v>99</v>
      </c>
      <c r="T143" t="s">
        <v>99</v>
      </c>
      <c r="U143" t="s">
        <v>99</v>
      </c>
      <c r="V143" t="s">
        <v>99</v>
      </c>
      <c r="W143" t="s">
        <v>99</v>
      </c>
      <c r="X143" t="s">
        <v>99</v>
      </c>
      <c r="Y143" t="s">
        <v>99</v>
      </c>
      <c r="Z143" t="s">
        <v>99</v>
      </c>
    </row>
    <row r="144" spans="1:26">
      <c r="A144" t="s">
        <v>4831</v>
      </c>
      <c r="B144" t="s">
        <v>706</v>
      </c>
      <c r="C144">
        <v>2016</v>
      </c>
      <c r="D144" t="s">
        <v>4428</v>
      </c>
      <c r="E144" t="s">
        <v>4429</v>
      </c>
      <c r="F144" t="s">
        <v>99</v>
      </c>
      <c r="G144" t="s">
        <v>99</v>
      </c>
      <c r="H144" t="s">
        <v>99</v>
      </c>
      <c r="I144" t="s">
        <v>99</v>
      </c>
      <c r="J144" t="s">
        <v>4430</v>
      </c>
      <c r="K144" t="s">
        <v>331</v>
      </c>
      <c r="L144" s="13">
        <v>44887.363807870373</v>
      </c>
      <c r="M144" s="13">
        <v>44887.363807870373</v>
      </c>
      <c r="N144" s="13"/>
      <c r="O144" t="s">
        <v>99</v>
      </c>
      <c r="P144" t="s">
        <v>99</v>
      </c>
      <c r="Q144" t="s">
        <v>99</v>
      </c>
      <c r="R144" t="s">
        <v>99</v>
      </c>
      <c r="S144" t="s">
        <v>99</v>
      </c>
      <c r="T144" t="s">
        <v>4431</v>
      </c>
      <c r="U144" t="s">
        <v>99</v>
      </c>
      <c r="V144" t="s">
        <v>99</v>
      </c>
      <c r="W144" t="s">
        <v>99</v>
      </c>
      <c r="X144" t="s">
        <v>4432</v>
      </c>
      <c r="Y144" t="s">
        <v>99</v>
      </c>
      <c r="Z144" t="s">
        <v>99</v>
      </c>
    </row>
    <row r="145" spans="1:26">
      <c r="A145" t="s">
        <v>4832</v>
      </c>
      <c r="B145" t="s">
        <v>135</v>
      </c>
      <c r="C145">
        <v>2016</v>
      </c>
      <c r="D145" t="s">
        <v>4423</v>
      </c>
      <c r="E145" t="s">
        <v>4424</v>
      </c>
      <c r="F145" t="s">
        <v>4425</v>
      </c>
      <c r="G145" t="s">
        <v>99</v>
      </c>
      <c r="H145" t="s">
        <v>99</v>
      </c>
      <c r="I145" t="s">
        <v>99</v>
      </c>
      <c r="J145" t="s">
        <v>4426</v>
      </c>
      <c r="K145" t="s">
        <v>331</v>
      </c>
      <c r="L145" s="13">
        <v>44887.363807870373</v>
      </c>
      <c r="M145" s="13">
        <v>44887.363807870373</v>
      </c>
      <c r="N145" s="13"/>
      <c r="O145" t="s">
        <v>99</v>
      </c>
      <c r="P145" t="s">
        <v>99</v>
      </c>
      <c r="Q145" t="s">
        <v>99</v>
      </c>
      <c r="R145" t="s">
        <v>99</v>
      </c>
      <c r="S145" t="s">
        <v>99</v>
      </c>
      <c r="T145" t="s">
        <v>99</v>
      </c>
      <c r="U145" t="s">
        <v>99</v>
      </c>
      <c r="V145" t="s">
        <v>99</v>
      </c>
      <c r="W145" t="s">
        <v>99</v>
      </c>
      <c r="X145" t="s">
        <v>4427</v>
      </c>
      <c r="Y145" t="s">
        <v>99</v>
      </c>
      <c r="Z145" t="s">
        <v>99</v>
      </c>
    </row>
    <row r="146" spans="1:26">
      <c r="A146" t="s">
        <v>4833</v>
      </c>
      <c r="B146" t="s">
        <v>706</v>
      </c>
      <c r="C146">
        <v>2019</v>
      </c>
      <c r="D146" t="s">
        <v>4412</v>
      </c>
      <c r="E146" t="s">
        <v>4413</v>
      </c>
      <c r="F146" t="s">
        <v>99</v>
      </c>
      <c r="G146" t="s">
        <v>99</v>
      </c>
      <c r="H146" t="s">
        <v>99</v>
      </c>
      <c r="I146" t="s">
        <v>99</v>
      </c>
      <c r="J146" t="s">
        <v>4414</v>
      </c>
      <c r="K146" t="s">
        <v>271</v>
      </c>
      <c r="L146" s="13">
        <v>44887.363807870373</v>
      </c>
      <c r="M146" s="13">
        <v>44887.363807870373</v>
      </c>
      <c r="N146" s="13"/>
      <c r="O146" t="s">
        <v>99</v>
      </c>
      <c r="P146" t="s">
        <v>99</v>
      </c>
      <c r="Q146" t="s">
        <v>99</v>
      </c>
      <c r="R146" t="s">
        <v>99</v>
      </c>
      <c r="S146" t="s">
        <v>99</v>
      </c>
      <c r="T146" t="s">
        <v>4415</v>
      </c>
      <c r="U146" t="s">
        <v>99</v>
      </c>
      <c r="V146" t="s">
        <v>99</v>
      </c>
      <c r="W146" t="s">
        <v>99</v>
      </c>
      <c r="X146" t="s">
        <v>4291</v>
      </c>
      <c r="Y146" t="s">
        <v>99</v>
      </c>
      <c r="Z146" t="s">
        <v>99</v>
      </c>
    </row>
    <row r="147" spans="1:26">
      <c r="A147" t="s">
        <v>4834</v>
      </c>
      <c r="B147" t="s">
        <v>135</v>
      </c>
      <c r="C147">
        <v>2022</v>
      </c>
      <c r="D147" t="s">
        <v>4409</v>
      </c>
      <c r="E147" t="s">
        <v>4410</v>
      </c>
      <c r="F147" t="s">
        <v>4382</v>
      </c>
      <c r="G147" t="s">
        <v>99</v>
      </c>
      <c r="H147" t="s">
        <v>99</v>
      </c>
      <c r="I147" t="s">
        <v>99</v>
      </c>
      <c r="J147" t="s">
        <v>4411</v>
      </c>
      <c r="K147" t="s">
        <v>123</v>
      </c>
      <c r="L147" s="13">
        <v>44887.363807870373</v>
      </c>
      <c r="M147" s="13">
        <v>44887.363807870373</v>
      </c>
      <c r="N147" s="13"/>
      <c r="O147" t="s">
        <v>99</v>
      </c>
      <c r="P147" t="s">
        <v>99</v>
      </c>
      <c r="Q147" t="s">
        <v>99</v>
      </c>
      <c r="R147" t="s">
        <v>99</v>
      </c>
      <c r="S147" t="s">
        <v>99</v>
      </c>
      <c r="T147" t="s">
        <v>99</v>
      </c>
      <c r="U147" t="s">
        <v>99</v>
      </c>
      <c r="V147" t="s">
        <v>99</v>
      </c>
      <c r="W147" t="s">
        <v>99</v>
      </c>
      <c r="X147" t="s">
        <v>4281</v>
      </c>
      <c r="Y147" t="s">
        <v>99</v>
      </c>
      <c r="Z147" t="s">
        <v>99</v>
      </c>
    </row>
    <row r="148" spans="1:26">
      <c r="A148" t="s">
        <v>4835</v>
      </c>
      <c r="B148" t="s">
        <v>135</v>
      </c>
      <c r="C148">
        <v>2022</v>
      </c>
      <c r="D148" t="s">
        <v>4403</v>
      </c>
      <c r="E148" t="s">
        <v>4404</v>
      </c>
      <c r="F148" t="s">
        <v>4405</v>
      </c>
      <c r="G148" t="s">
        <v>99</v>
      </c>
      <c r="H148" t="s">
        <v>99</v>
      </c>
      <c r="I148" t="s">
        <v>4406</v>
      </c>
      <c r="J148" t="s">
        <v>4407</v>
      </c>
      <c r="K148" t="s">
        <v>123</v>
      </c>
      <c r="L148" s="13">
        <v>44887.363807870373</v>
      </c>
      <c r="M148" s="13">
        <v>44887.363807870373</v>
      </c>
      <c r="N148" s="13"/>
      <c r="O148" t="s">
        <v>99</v>
      </c>
      <c r="P148" t="s">
        <v>99</v>
      </c>
      <c r="Q148" t="s">
        <v>99</v>
      </c>
      <c r="R148" t="s">
        <v>99</v>
      </c>
      <c r="S148" t="s">
        <v>99</v>
      </c>
      <c r="T148" t="s">
        <v>99</v>
      </c>
      <c r="U148" t="s">
        <v>99</v>
      </c>
      <c r="V148" t="s">
        <v>99</v>
      </c>
      <c r="W148" t="s">
        <v>99</v>
      </c>
      <c r="X148" t="s">
        <v>4408</v>
      </c>
      <c r="Y148" t="s">
        <v>99</v>
      </c>
      <c r="Z148" t="s">
        <v>99</v>
      </c>
    </row>
    <row r="149" spans="1:26">
      <c r="A149" t="s">
        <v>4836</v>
      </c>
      <c r="B149" t="s">
        <v>706</v>
      </c>
      <c r="C149">
        <v>2018</v>
      </c>
      <c r="D149" t="s">
        <v>4399</v>
      </c>
      <c r="E149" t="s">
        <v>4400</v>
      </c>
      <c r="F149" t="s">
        <v>99</v>
      </c>
      <c r="G149" t="s">
        <v>99</v>
      </c>
      <c r="H149" t="s">
        <v>99</v>
      </c>
      <c r="I149" t="s">
        <v>99</v>
      </c>
      <c r="J149" t="s">
        <v>4401</v>
      </c>
      <c r="K149" t="s">
        <v>384</v>
      </c>
      <c r="L149" s="13">
        <v>44887.363807870373</v>
      </c>
      <c r="M149" s="13">
        <v>44887.363807870373</v>
      </c>
      <c r="N149" s="13"/>
      <c r="O149" t="s">
        <v>99</v>
      </c>
      <c r="P149" t="s">
        <v>99</v>
      </c>
      <c r="Q149" t="s">
        <v>99</v>
      </c>
      <c r="R149" t="s">
        <v>99</v>
      </c>
      <c r="S149" t="s">
        <v>99</v>
      </c>
      <c r="T149" t="s">
        <v>4402</v>
      </c>
      <c r="U149" t="s">
        <v>99</v>
      </c>
      <c r="V149" t="s">
        <v>99</v>
      </c>
      <c r="W149" t="s">
        <v>99</v>
      </c>
      <c r="X149" t="s">
        <v>99</v>
      </c>
      <c r="Y149" t="s">
        <v>99</v>
      </c>
      <c r="Z149" t="s">
        <v>99</v>
      </c>
    </row>
    <row r="150" spans="1:26">
      <c r="A150" t="s">
        <v>4837</v>
      </c>
      <c r="B150" t="s">
        <v>135</v>
      </c>
      <c r="C150">
        <v>2022</v>
      </c>
      <c r="D150" t="s">
        <v>4393</v>
      </c>
      <c r="E150" t="s">
        <v>4394</v>
      </c>
      <c r="F150" t="s">
        <v>4395</v>
      </c>
      <c r="G150" t="s">
        <v>99</v>
      </c>
      <c r="H150" t="s">
        <v>99</v>
      </c>
      <c r="I150" t="s">
        <v>4396</v>
      </c>
      <c r="J150" t="s">
        <v>4397</v>
      </c>
      <c r="K150" t="s">
        <v>123</v>
      </c>
      <c r="L150" s="13">
        <v>44887.363807870373</v>
      </c>
      <c r="M150" s="13">
        <v>44887.363807870373</v>
      </c>
      <c r="N150" s="13"/>
      <c r="O150" t="s">
        <v>99</v>
      </c>
      <c r="P150" t="s">
        <v>99</v>
      </c>
      <c r="Q150" t="s">
        <v>99</v>
      </c>
      <c r="R150" t="s">
        <v>99</v>
      </c>
      <c r="S150" t="s">
        <v>99</v>
      </c>
      <c r="T150" t="s">
        <v>99</v>
      </c>
      <c r="U150" t="s">
        <v>99</v>
      </c>
      <c r="V150" t="s">
        <v>99</v>
      </c>
      <c r="W150" t="s">
        <v>99</v>
      </c>
      <c r="X150" t="s">
        <v>4398</v>
      </c>
      <c r="Y150" t="s">
        <v>99</v>
      </c>
      <c r="Z150" t="s">
        <v>99</v>
      </c>
    </row>
    <row r="151" spans="1:26">
      <c r="A151" t="s">
        <v>4838</v>
      </c>
      <c r="B151" t="s">
        <v>135</v>
      </c>
      <c r="C151">
        <v>2020</v>
      </c>
      <c r="D151" t="s">
        <v>4387</v>
      </c>
      <c r="E151" t="s">
        <v>4388</v>
      </c>
      <c r="F151" t="s">
        <v>4389</v>
      </c>
      <c r="G151" t="s">
        <v>99</v>
      </c>
      <c r="H151" t="s">
        <v>99</v>
      </c>
      <c r="I151" t="s">
        <v>4390</v>
      </c>
      <c r="J151" t="s">
        <v>4391</v>
      </c>
      <c r="K151" t="s">
        <v>176</v>
      </c>
      <c r="L151" s="13">
        <v>44887.363807870373</v>
      </c>
      <c r="M151" s="13">
        <v>44887.363807870373</v>
      </c>
      <c r="N151" s="13"/>
      <c r="O151" t="s">
        <v>99</v>
      </c>
      <c r="P151" t="s">
        <v>99</v>
      </c>
      <c r="Q151" t="s">
        <v>99</v>
      </c>
      <c r="R151" t="s">
        <v>99</v>
      </c>
      <c r="S151" t="s">
        <v>99</v>
      </c>
      <c r="T151" t="s">
        <v>99</v>
      </c>
      <c r="U151" t="s">
        <v>99</v>
      </c>
      <c r="V151" t="s">
        <v>99</v>
      </c>
      <c r="W151" t="s">
        <v>99</v>
      </c>
      <c r="X151" t="s">
        <v>4392</v>
      </c>
      <c r="Y151" t="s">
        <v>99</v>
      </c>
      <c r="Z151" t="s">
        <v>99</v>
      </c>
    </row>
    <row r="152" spans="1:26">
      <c r="A152" t="s">
        <v>4839</v>
      </c>
      <c r="B152" t="s">
        <v>135</v>
      </c>
      <c r="C152">
        <v>2022</v>
      </c>
      <c r="D152" t="s">
        <v>4380</v>
      </c>
      <c r="E152" t="s">
        <v>4381</v>
      </c>
      <c r="F152" t="s">
        <v>4382</v>
      </c>
      <c r="G152" t="s">
        <v>99</v>
      </c>
      <c r="H152" t="s">
        <v>99</v>
      </c>
      <c r="I152" t="s">
        <v>99</v>
      </c>
      <c r="J152" t="s">
        <v>4383</v>
      </c>
      <c r="K152" t="s">
        <v>123</v>
      </c>
      <c r="L152" s="13">
        <v>44887.363807870373</v>
      </c>
      <c r="M152" s="13">
        <v>44887.363807870373</v>
      </c>
      <c r="N152" s="13"/>
      <c r="O152" t="s">
        <v>99</v>
      </c>
      <c r="P152" t="s">
        <v>99</v>
      </c>
      <c r="Q152" t="s">
        <v>99</v>
      </c>
      <c r="R152" t="s">
        <v>99</v>
      </c>
      <c r="S152" t="s">
        <v>99</v>
      </c>
      <c r="T152" t="s">
        <v>99</v>
      </c>
      <c r="U152" t="s">
        <v>99</v>
      </c>
      <c r="V152" t="s">
        <v>99</v>
      </c>
      <c r="W152" t="s">
        <v>99</v>
      </c>
      <c r="X152" t="s">
        <v>4281</v>
      </c>
      <c r="Y152" t="s">
        <v>99</v>
      </c>
      <c r="Z152" t="s">
        <v>99</v>
      </c>
    </row>
    <row r="153" spans="1:26">
      <c r="A153" t="s">
        <v>4840</v>
      </c>
      <c r="B153" t="s">
        <v>135</v>
      </c>
      <c r="D153" t="s">
        <v>4376</v>
      </c>
      <c r="E153" t="s">
        <v>4377</v>
      </c>
      <c r="F153" t="s">
        <v>4378</v>
      </c>
      <c r="G153" t="s">
        <v>99</v>
      </c>
      <c r="H153" t="s">
        <v>99</v>
      </c>
      <c r="I153" t="s">
        <v>99</v>
      </c>
      <c r="J153" t="s">
        <v>4379</v>
      </c>
      <c r="K153" t="s">
        <v>99</v>
      </c>
      <c r="L153" s="13">
        <v>44887.363807870373</v>
      </c>
      <c r="M153" s="13">
        <v>44887.363807870373</v>
      </c>
      <c r="N153" s="13"/>
      <c r="O153" t="s">
        <v>99</v>
      </c>
      <c r="P153" t="s">
        <v>99</v>
      </c>
      <c r="Q153" t="s">
        <v>99</v>
      </c>
      <c r="R153" t="s">
        <v>99</v>
      </c>
      <c r="S153" t="s">
        <v>99</v>
      </c>
      <c r="T153" t="s">
        <v>99</v>
      </c>
      <c r="U153" t="s">
        <v>99</v>
      </c>
      <c r="V153" t="s">
        <v>99</v>
      </c>
      <c r="W153" t="s">
        <v>99</v>
      </c>
      <c r="X153" t="s">
        <v>4291</v>
      </c>
      <c r="Y153" t="s">
        <v>99</v>
      </c>
      <c r="Z153" t="s">
        <v>99</v>
      </c>
    </row>
    <row r="154" spans="1:26">
      <c r="A154" t="s">
        <v>4841</v>
      </c>
      <c r="B154" t="s">
        <v>135</v>
      </c>
      <c r="C154">
        <v>2018</v>
      </c>
      <c r="D154" t="s">
        <v>4367</v>
      </c>
      <c r="E154" t="s">
        <v>4368</v>
      </c>
      <c r="F154" t="s">
        <v>4369</v>
      </c>
      <c r="G154" t="s">
        <v>99</v>
      </c>
      <c r="H154" t="s">
        <v>99</v>
      </c>
      <c r="I154" t="s">
        <v>99</v>
      </c>
      <c r="J154" t="s">
        <v>4370</v>
      </c>
      <c r="K154" t="s">
        <v>384</v>
      </c>
      <c r="L154" s="13">
        <v>44887.363807870373</v>
      </c>
      <c r="M154" s="13">
        <v>44887.363807870373</v>
      </c>
      <c r="N154" s="13"/>
      <c r="O154" t="s">
        <v>99</v>
      </c>
      <c r="P154" t="s">
        <v>99</v>
      </c>
      <c r="Q154" t="s">
        <v>99</v>
      </c>
      <c r="R154" t="s">
        <v>99</v>
      </c>
      <c r="S154" t="s">
        <v>99</v>
      </c>
      <c r="T154" t="s">
        <v>99</v>
      </c>
      <c r="U154" t="s">
        <v>99</v>
      </c>
      <c r="V154" t="s">
        <v>99</v>
      </c>
      <c r="W154" t="s">
        <v>99</v>
      </c>
      <c r="X154" t="s">
        <v>4356</v>
      </c>
      <c r="Y154" t="s">
        <v>99</v>
      </c>
      <c r="Z154" t="s">
        <v>99</v>
      </c>
    </row>
    <row r="155" spans="1:26">
      <c r="A155" t="s">
        <v>4842</v>
      </c>
      <c r="B155" t="s">
        <v>135</v>
      </c>
      <c r="C155">
        <v>2022</v>
      </c>
      <c r="D155" t="s">
        <v>4357</v>
      </c>
      <c r="E155" t="s">
        <v>4358</v>
      </c>
      <c r="F155" t="s">
        <v>4359</v>
      </c>
      <c r="G155" t="s">
        <v>99</v>
      </c>
      <c r="H155" t="s">
        <v>99</v>
      </c>
      <c r="I155" t="s">
        <v>4360</v>
      </c>
      <c r="J155" t="s">
        <v>4361</v>
      </c>
      <c r="K155" t="s">
        <v>123</v>
      </c>
      <c r="L155" s="13">
        <v>44887.363807870373</v>
      </c>
      <c r="M155" s="13">
        <v>44887.363807870373</v>
      </c>
      <c r="N155" s="13"/>
      <c r="O155" t="s">
        <v>99</v>
      </c>
      <c r="P155" t="s">
        <v>99</v>
      </c>
      <c r="Q155" t="s">
        <v>99</v>
      </c>
      <c r="R155" t="s">
        <v>99</v>
      </c>
      <c r="S155" t="s">
        <v>99</v>
      </c>
      <c r="T155" t="s">
        <v>99</v>
      </c>
      <c r="U155" t="s">
        <v>99</v>
      </c>
      <c r="V155" t="s">
        <v>99</v>
      </c>
      <c r="W155" t="s">
        <v>99</v>
      </c>
      <c r="X155" t="s">
        <v>4362</v>
      </c>
      <c r="Y155" t="s">
        <v>99</v>
      </c>
      <c r="Z155" t="s">
        <v>99</v>
      </c>
    </row>
    <row r="156" spans="1:26">
      <c r="A156" t="s">
        <v>4843</v>
      </c>
      <c r="B156" t="s">
        <v>135</v>
      </c>
      <c r="C156">
        <v>2022</v>
      </c>
      <c r="D156" t="s">
        <v>4363</v>
      </c>
      <c r="E156" t="s">
        <v>4364</v>
      </c>
      <c r="F156" t="s">
        <v>4365</v>
      </c>
      <c r="G156" t="s">
        <v>99</v>
      </c>
      <c r="H156" t="s">
        <v>99</v>
      </c>
      <c r="I156" t="s">
        <v>99</v>
      </c>
      <c r="J156" t="s">
        <v>4366</v>
      </c>
      <c r="K156" t="s">
        <v>123</v>
      </c>
      <c r="L156" s="13">
        <v>44887.363807870373</v>
      </c>
      <c r="M156" s="13">
        <v>44887.363807870373</v>
      </c>
      <c r="N156" s="13"/>
      <c r="O156" t="s">
        <v>99</v>
      </c>
      <c r="P156" t="s">
        <v>99</v>
      </c>
      <c r="Q156" t="s">
        <v>99</v>
      </c>
      <c r="R156" t="s">
        <v>99</v>
      </c>
      <c r="S156" t="s">
        <v>99</v>
      </c>
      <c r="T156" t="s">
        <v>99</v>
      </c>
      <c r="U156" t="s">
        <v>99</v>
      </c>
      <c r="V156" t="s">
        <v>99</v>
      </c>
      <c r="W156" t="s">
        <v>99</v>
      </c>
      <c r="X156" t="s">
        <v>4281</v>
      </c>
      <c r="Y156" t="s">
        <v>99</v>
      </c>
      <c r="Z156" t="s">
        <v>99</v>
      </c>
    </row>
    <row r="157" spans="1:26">
      <c r="A157" t="s">
        <v>4844</v>
      </c>
      <c r="B157" t="s">
        <v>135</v>
      </c>
      <c r="C157">
        <v>2021</v>
      </c>
      <c r="D157" t="s">
        <v>4352</v>
      </c>
      <c r="E157" t="s">
        <v>4353</v>
      </c>
      <c r="F157" t="s">
        <v>4354</v>
      </c>
      <c r="G157" t="s">
        <v>99</v>
      </c>
      <c r="H157" t="s">
        <v>99</v>
      </c>
      <c r="I157" t="s">
        <v>99</v>
      </c>
      <c r="J157" t="s">
        <v>4355</v>
      </c>
      <c r="K157" t="s">
        <v>113</v>
      </c>
      <c r="L157" s="13">
        <v>44887.363807870373</v>
      </c>
      <c r="M157" s="13">
        <v>44887.363807870373</v>
      </c>
      <c r="N157" s="13"/>
      <c r="O157" t="s">
        <v>99</v>
      </c>
      <c r="P157" t="s">
        <v>99</v>
      </c>
      <c r="Q157" t="s">
        <v>99</v>
      </c>
      <c r="R157" t="s">
        <v>99</v>
      </c>
      <c r="S157" t="s">
        <v>99</v>
      </c>
      <c r="T157" t="s">
        <v>99</v>
      </c>
      <c r="U157" t="s">
        <v>99</v>
      </c>
      <c r="V157" t="s">
        <v>99</v>
      </c>
      <c r="W157" t="s">
        <v>99</v>
      </c>
      <c r="X157" t="s">
        <v>4356</v>
      </c>
      <c r="Y157" t="s">
        <v>99</v>
      </c>
      <c r="Z157" t="s">
        <v>99</v>
      </c>
    </row>
    <row r="158" spans="1:26">
      <c r="A158" t="s">
        <v>4845</v>
      </c>
      <c r="B158" t="s">
        <v>706</v>
      </c>
      <c r="C158">
        <v>2022</v>
      </c>
      <c r="D158" t="s">
        <v>4331</v>
      </c>
      <c r="E158" t="s">
        <v>4332</v>
      </c>
      <c r="F158" t="s">
        <v>99</v>
      </c>
      <c r="G158" t="s">
        <v>99</v>
      </c>
      <c r="H158" t="s">
        <v>99</v>
      </c>
      <c r="I158" t="s">
        <v>99</v>
      </c>
      <c r="J158" t="s">
        <v>4333</v>
      </c>
      <c r="K158" t="s">
        <v>123</v>
      </c>
      <c r="L158" s="13">
        <v>44887.363807870373</v>
      </c>
      <c r="M158" s="13">
        <v>44887.363807870373</v>
      </c>
      <c r="N158" s="13"/>
      <c r="O158" t="s">
        <v>99</v>
      </c>
      <c r="P158" t="s">
        <v>99</v>
      </c>
      <c r="Q158" t="s">
        <v>99</v>
      </c>
      <c r="R158" t="s">
        <v>99</v>
      </c>
      <c r="S158" t="s">
        <v>99</v>
      </c>
      <c r="T158" t="s">
        <v>4334</v>
      </c>
      <c r="U158" t="s">
        <v>99</v>
      </c>
      <c r="V158" t="s">
        <v>99</v>
      </c>
      <c r="W158" t="s">
        <v>99</v>
      </c>
      <c r="X158" t="s">
        <v>99</v>
      </c>
      <c r="Y158" t="s">
        <v>99</v>
      </c>
      <c r="Z158" t="s">
        <v>99</v>
      </c>
    </row>
    <row r="159" spans="1:26">
      <c r="A159" t="s">
        <v>4846</v>
      </c>
      <c r="B159" t="s">
        <v>706</v>
      </c>
      <c r="C159">
        <v>2018</v>
      </c>
      <c r="D159" t="s">
        <v>4319</v>
      </c>
      <c r="E159" t="s">
        <v>4320</v>
      </c>
      <c r="F159" t="s">
        <v>99</v>
      </c>
      <c r="G159" t="s">
        <v>99</v>
      </c>
      <c r="H159" t="s">
        <v>99</v>
      </c>
      <c r="I159" t="s">
        <v>99</v>
      </c>
      <c r="J159" t="s">
        <v>4321</v>
      </c>
      <c r="K159" t="s">
        <v>384</v>
      </c>
      <c r="L159" s="13">
        <v>44887.363807870373</v>
      </c>
      <c r="M159" s="13">
        <v>44887.363807870373</v>
      </c>
      <c r="N159" s="13"/>
      <c r="O159" t="s">
        <v>99</v>
      </c>
      <c r="P159" t="s">
        <v>99</v>
      </c>
      <c r="Q159" t="s">
        <v>99</v>
      </c>
      <c r="R159" t="s">
        <v>99</v>
      </c>
      <c r="S159" t="s">
        <v>99</v>
      </c>
      <c r="T159" t="s">
        <v>4322</v>
      </c>
      <c r="U159" t="s">
        <v>99</v>
      </c>
      <c r="V159" t="s">
        <v>99</v>
      </c>
      <c r="W159" t="s">
        <v>99</v>
      </c>
      <c r="X159" t="s">
        <v>99</v>
      </c>
      <c r="Y159" t="s">
        <v>99</v>
      </c>
      <c r="Z159" t="s">
        <v>99</v>
      </c>
    </row>
    <row r="160" spans="1:26">
      <c r="A160" t="s">
        <v>4847</v>
      </c>
      <c r="B160" t="s">
        <v>135</v>
      </c>
      <c r="D160" t="s">
        <v>4307</v>
      </c>
      <c r="E160" t="s">
        <v>4308</v>
      </c>
      <c r="F160" t="s">
        <v>4309</v>
      </c>
      <c r="G160" t="s">
        <v>99</v>
      </c>
      <c r="H160" t="s">
        <v>99</v>
      </c>
      <c r="I160" t="s">
        <v>99</v>
      </c>
      <c r="J160" t="s">
        <v>4310</v>
      </c>
      <c r="K160" t="s">
        <v>99</v>
      </c>
      <c r="L160" s="13">
        <v>44887.363807870373</v>
      </c>
      <c r="M160" s="13">
        <v>44887.363807870373</v>
      </c>
      <c r="N160" s="13"/>
      <c r="O160" t="s">
        <v>99</v>
      </c>
      <c r="P160" t="s">
        <v>99</v>
      </c>
      <c r="Q160" t="s">
        <v>99</v>
      </c>
      <c r="R160" t="s">
        <v>99</v>
      </c>
      <c r="S160" t="s">
        <v>99</v>
      </c>
      <c r="T160" t="s">
        <v>99</v>
      </c>
      <c r="U160" t="s">
        <v>99</v>
      </c>
      <c r="V160" t="s">
        <v>99</v>
      </c>
      <c r="W160" t="s">
        <v>99</v>
      </c>
      <c r="X160" t="s">
        <v>4291</v>
      </c>
      <c r="Y160" t="s">
        <v>99</v>
      </c>
      <c r="Z160" t="s">
        <v>99</v>
      </c>
    </row>
    <row r="161" spans="1:26">
      <c r="A161" t="s">
        <v>4848</v>
      </c>
      <c r="B161" t="s">
        <v>706</v>
      </c>
      <c r="C161">
        <v>2020</v>
      </c>
      <c r="D161" t="s">
        <v>4296</v>
      </c>
      <c r="E161" t="s">
        <v>4297</v>
      </c>
      <c r="F161" t="s">
        <v>99</v>
      </c>
      <c r="G161" t="s">
        <v>99</v>
      </c>
      <c r="H161" t="s">
        <v>99</v>
      </c>
      <c r="I161" t="s">
        <v>99</v>
      </c>
      <c r="J161" t="s">
        <v>4298</v>
      </c>
      <c r="K161" t="s">
        <v>176</v>
      </c>
      <c r="L161" s="13">
        <v>44887.363807870373</v>
      </c>
      <c r="M161" s="13">
        <v>44887.363807870373</v>
      </c>
      <c r="N161" s="13"/>
      <c r="O161" t="s">
        <v>99</v>
      </c>
      <c r="P161" t="s">
        <v>99</v>
      </c>
      <c r="Q161" t="s">
        <v>99</v>
      </c>
      <c r="R161" t="s">
        <v>99</v>
      </c>
      <c r="S161" t="s">
        <v>99</v>
      </c>
      <c r="T161" t="s">
        <v>4299</v>
      </c>
      <c r="U161" t="s">
        <v>99</v>
      </c>
      <c r="V161" t="s">
        <v>99</v>
      </c>
      <c r="W161" t="s">
        <v>99</v>
      </c>
      <c r="X161" t="s">
        <v>99</v>
      </c>
      <c r="Y161" t="s">
        <v>99</v>
      </c>
      <c r="Z161" t="s">
        <v>99</v>
      </c>
    </row>
    <row r="162" spans="1:26">
      <c r="A162" t="s">
        <v>4849</v>
      </c>
      <c r="B162" t="s">
        <v>706</v>
      </c>
      <c r="C162">
        <v>2021</v>
      </c>
      <c r="D162" t="s">
        <v>4292</v>
      </c>
      <c r="E162" t="s">
        <v>4293</v>
      </c>
      <c r="F162" t="s">
        <v>99</v>
      </c>
      <c r="G162" t="s">
        <v>99</v>
      </c>
      <c r="H162" t="s">
        <v>99</v>
      </c>
      <c r="I162" t="s">
        <v>99</v>
      </c>
      <c r="J162" t="s">
        <v>4294</v>
      </c>
      <c r="K162" t="s">
        <v>113</v>
      </c>
      <c r="L162" s="13">
        <v>44887.363807870373</v>
      </c>
      <c r="M162" s="13">
        <v>44887.363807870373</v>
      </c>
      <c r="N162" s="13"/>
      <c r="O162" t="s">
        <v>99</v>
      </c>
      <c r="P162" t="s">
        <v>99</v>
      </c>
      <c r="Q162" t="s">
        <v>99</v>
      </c>
      <c r="R162" t="s">
        <v>99</v>
      </c>
      <c r="S162" t="s">
        <v>99</v>
      </c>
      <c r="T162" t="s">
        <v>4295</v>
      </c>
      <c r="U162" t="s">
        <v>99</v>
      </c>
      <c r="V162" t="s">
        <v>99</v>
      </c>
      <c r="W162" t="s">
        <v>99</v>
      </c>
      <c r="X162" t="s">
        <v>4291</v>
      </c>
      <c r="Y162" t="s">
        <v>99</v>
      </c>
      <c r="Z162" t="s">
        <v>99</v>
      </c>
    </row>
    <row r="163" spans="1:26">
      <c r="A163" t="s">
        <v>4850</v>
      </c>
      <c r="B163" t="s">
        <v>135</v>
      </c>
      <c r="C163">
        <v>2022</v>
      </c>
      <c r="D163" t="s">
        <v>4277</v>
      </c>
      <c r="E163" t="s">
        <v>4278</v>
      </c>
      <c r="F163" t="s">
        <v>4279</v>
      </c>
      <c r="G163" t="s">
        <v>99</v>
      </c>
      <c r="H163" t="s">
        <v>99</v>
      </c>
      <c r="I163" t="s">
        <v>99</v>
      </c>
      <c r="J163" t="s">
        <v>4280</v>
      </c>
      <c r="K163" t="s">
        <v>123</v>
      </c>
      <c r="L163" s="13">
        <v>44887.363807870373</v>
      </c>
      <c r="M163" s="13">
        <v>44887.363807870373</v>
      </c>
      <c r="N163" s="13"/>
      <c r="O163" t="s">
        <v>99</v>
      </c>
      <c r="P163" t="s">
        <v>99</v>
      </c>
      <c r="Q163" t="s">
        <v>99</v>
      </c>
      <c r="R163" t="s">
        <v>99</v>
      </c>
      <c r="S163" t="s">
        <v>99</v>
      </c>
      <c r="T163" t="s">
        <v>99</v>
      </c>
      <c r="U163" t="s">
        <v>99</v>
      </c>
      <c r="V163" t="s">
        <v>99</v>
      </c>
      <c r="W163" t="s">
        <v>99</v>
      </c>
      <c r="X163" t="s">
        <v>4281</v>
      </c>
      <c r="Y163" t="s">
        <v>99</v>
      </c>
      <c r="Z163" t="s">
        <v>99</v>
      </c>
    </row>
    <row r="164" spans="1:26">
      <c r="A164" t="s">
        <v>4851</v>
      </c>
      <c r="B164" t="s">
        <v>706</v>
      </c>
      <c r="C164">
        <v>2002</v>
      </c>
      <c r="D164" t="s">
        <v>4287</v>
      </c>
      <c r="E164" t="s">
        <v>4288</v>
      </c>
      <c r="F164" t="s">
        <v>99</v>
      </c>
      <c r="G164" t="s">
        <v>99</v>
      </c>
      <c r="H164" t="s">
        <v>99</v>
      </c>
      <c r="I164" t="s">
        <v>99</v>
      </c>
      <c r="J164" t="s">
        <v>4289</v>
      </c>
      <c r="K164" t="s">
        <v>1668</v>
      </c>
      <c r="L164" s="13">
        <v>44887.363807870373</v>
      </c>
      <c r="M164" s="13">
        <v>44887.363807870373</v>
      </c>
      <c r="N164" s="13"/>
      <c r="O164" t="s">
        <v>99</v>
      </c>
      <c r="P164" t="s">
        <v>99</v>
      </c>
      <c r="Q164" t="s">
        <v>99</v>
      </c>
      <c r="R164" t="s">
        <v>99</v>
      </c>
      <c r="S164" t="s">
        <v>99</v>
      </c>
      <c r="T164" t="s">
        <v>4290</v>
      </c>
      <c r="U164" t="s">
        <v>99</v>
      </c>
      <c r="V164" t="s">
        <v>99</v>
      </c>
      <c r="W164" t="s">
        <v>99</v>
      </c>
      <c r="X164" t="s">
        <v>4291</v>
      </c>
      <c r="Y164" t="s">
        <v>99</v>
      </c>
      <c r="Z164" t="s">
        <v>99</v>
      </c>
    </row>
    <row r="165" spans="1:26">
      <c r="A165" t="s">
        <v>4852</v>
      </c>
      <c r="B165" t="s">
        <v>135</v>
      </c>
      <c r="C165">
        <v>2022</v>
      </c>
      <c r="D165" t="s">
        <v>2163</v>
      </c>
      <c r="E165" t="s">
        <v>2164</v>
      </c>
      <c r="F165" t="s">
        <v>1486</v>
      </c>
      <c r="G165" t="s">
        <v>99</v>
      </c>
      <c r="H165" t="s">
        <v>1487</v>
      </c>
      <c r="I165" t="s">
        <v>2165</v>
      </c>
      <c r="J165" t="s">
        <v>2166</v>
      </c>
      <c r="K165" t="s">
        <v>2167</v>
      </c>
      <c r="L165" s="13">
        <v>44887.363807870373</v>
      </c>
      <c r="M165" s="13">
        <v>44887.363807870373</v>
      </c>
      <c r="N165" s="13">
        <v>44886.598217592589</v>
      </c>
      <c r="O165" t="s">
        <v>99</v>
      </c>
      <c r="P165" t="s">
        <v>99</v>
      </c>
      <c r="Q165" t="s">
        <v>99</v>
      </c>
      <c r="R165" t="s">
        <v>4853</v>
      </c>
      <c r="S165" t="s">
        <v>99</v>
      </c>
      <c r="T165" t="s">
        <v>99</v>
      </c>
      <c r="U165" t="s">
        <v>99</v>
      </c>
      <c r="V165" t="s">
        <v>4495</v>
      </c>
      <c r="W165" t="s">
        <v>4496</v>
      </c>
      <c r="X165" t="s">
        <v>99</v>
      </c>
      <c r="Y165" t="s">
        <v>99</v>
      </c>
      <c r="Z165" t="s">
        <v>99</v>
      </c>
    </row>
    <row r="166" spans="1:26">
      <c r="A166" t="s">
        <v>4854</v>
      </c>
      <c r="B166" t="s">
        <v>94</v>
      </c>
      <c r="C166">
        <v>2013</v>
      </c>
      <c r="D166" t="s">
        <v>1163</v>
      </c>
      <c r="E166" t="s">
        <v>1164</v>
      </c>
      <c r="F166" t="s">
        <v>1165</v>
      </c>
      <c r="G166" t="s">
        <v>99</v>
      </c>
      <c r="H166" t="s">
        <v>99</v>
      </c>
      <c r="I166" t="s">
        <v>1166</v>
      </c>
      <c r="J166" t="s">
        <v>99</v>
      </c>
      <c r="K166" t="s">
        <v>139</v>
      </c>
      <c r="L166" s="13">
        <v>44887.363807870373</v>
      </c>
      <c r="M166" s="13">
        <v>44887.363807870373</v>
      </c>
      <c r="N166" s="13"/>
      <c r="O166" t="s">
        <v>1167</v>
      </c>
      <c r="P166" t="s">
        <v>99</v>
      </c>
      <c r="Q166" t="s">
        <v>99</v>
      </c>
      <c r="R166" t="s">
        <v>99</v>
      </c>
      <c r="S166" t="s">
        <v>99</v>
      </c>
      <c r="T166" t="s">
        <v>99</v>
      </c>
      <c r="U166" t="s">
        <v>99</v>
      </c>
      <c r="V166" t="s">
        <v>99</v>
      </c>
      <c r="W166" t="s">
        <v>99</v>
      </c>
      <c r="X166" t="s">
        <v>99</v>
      </c>
      <c r="Y166" t="s">
        <v>99</v>
      </c>
      <c r="Z166" t="s">
        <v>99</v>
      </c>
    </row>
    <row r="167" spans="1:26">
      <c r="A167" t="s">
        <v>4855</v>
      </c>
      <c r="B167" t="s">
        <v>135</v>
      </c>
      <c r="C167">
        <v>2022</v>
      </c>
      <c r="D167" t="s">
        <v>3038</v>
      </c>
      <c r="E167" t="s">
        <v>3039</v>
      </c>
      <c r="F167" t="s">
        <v>1265</v>
      </c>
      <c r="G167" t="s">
        <v>99</v>
      </c>
      <c r="H167" t="s">
        <v>1266</v>
      </c>
      <c r="I167" t="s">
        <v>3040</v>
      </c>
      <c r="J167" t="s">
        <v>3041</v>
      </c>
      <c r="K167" t="s">
        <v>1308</v>
      </c>
      <c r="L167" s="13">
        <v>44887.363807870373</v>
      </c>
      <c r="M167" s="13">
        <v>44887.363807870373</v>
      </c>
      <c r="N167" s="13">
        <v>44886.597986111112</v>
      </c>
      <c r="O167" t="s">
        <v>3042</v>
      </c>
      <c r="P167" t="s">
        <v>288</v>
      </c>
      <c r="Q167" t="s">
        <v>4512</v>
      </c>
      <c r="R167" t="s">
        <v>4513</v>
      </c>
      <c r="S167" t="s">
        <v>4856</v>
      </c>
      <c r="T167" t="s">
        <v>99</v>
      </c>
      <c r="U167" t="s">
        <v>99</v>
      </c>
      <c r="V167" t="s">
        <v>4495</v>
      </c>
      <c r="W167" t="s">
        <v>4496</v>
      </c>
      <c r="X167" t="s">
        <v>99</v>
      </c>
      <c r="Y167" t="s">
        <v>99</v>
      </c>
      <c r="Z167" t="s">
        <v>99</v>
      </c>
    </row>
    <row r="168" spans="1:26">
      <c r="A168" t="s">
        <v>4857</v>
      </c>
      <c r="B168" t="s">
        <v>94</v>
      </c>
      <c r="C168">
        <v>2011</v>
      </c>
      <c r="D168" t="s">
        <v>4271</v>
      </c>
      <c r="E168" t="s">
        <v>4272</v>
      </c>
      <c r="F168" t="s">
        <v>4273</v>
      </c>
      <c r="G168" t="s">
        <v>99</v>
      </c>
      <c r="H168" t="s">
        <v>99</v>
      </c>
      <c r="I168" t="s">
        <v>4274</v>
      </c>
      <c r="J168" t="s">
        <v>4275</v>
      </c>
      <c r="K168" t="s">
        <v>102</v>
      </c>
      <c r="L168" s="13">
        <v>44887.363807870373</v>
      </c>
      <c r="M168" s="13">
        <v>44887.363807870373</v>
      </c>
      <c r="N168" s="13"/>
      <c r="O168" t="s">
        <v>4276</v>
      </c>
      <c r="P168" t="s">
        <v>99</v>
      </c>
      <c r="Q168" t="s">
        <v>99</v>
      </c>
      <c r="R168" t="s">
        <v>99</v>
      </c>
      <c r="S168" t="s">
        <v>99</v>
      </c>
      <c r="T168" t="s">
        <v>15</v>
      </c>
      <c r="U168" t="s">
        <v>99</v>
      </c>
      <c r="V168" t="s">
        <v>99</v>
      </c>
      <c r="W168" t="s">
        <v>99</v>
      </c>
      <c r="X168" t="s">
        <v>99</v>
      </c>
      <c r="Y168" t="s">
        <v>4858</v>
      </c>
      <c r="Z168" t="s">
        <v>99</v>
      </c>
    </row>
    <row r="169" spans="1:26">
      <c r="A169" t="s">
        <v>4859</v>
      </c>
      <c r="B169" t="s">
        <v>94</v>
      </c>
      <c r="C169">
        <v>2016</v>
      </c>
      <c r="D169" t="s">
        <v>4259</v>
      </c>
      <c r="E169" t="s">
        <v>4260</v>
      </c>
      <c r="F169" t="s">
        <v>4261</v>
      </c>
      <c r="G169" t="s">
        <v>99</v>
      </c>
      <c r="H169" t="s">
        <v>99</v>
      </c>
      <c r="I169" t="s">
        <v>4262</v>
      </c>
      <c r="J169" t="s">
        <v>4263</v>
      </c>
      <c r="K169" t="s">
        <v>331</v>
      </c>
      <c r="L169" s="13">
        <v>44887.363807870373</v>
      </c>
      <c r="M169" s="13">
        <v>44887.363807870373</v>
      </c>
      <c r="N169" s="13"/>
      <c r="O169" t="s">
        <v>4264</v>
      </c>
      <c r="P169" t="s">
        <v>99</v>
      </c>
      <c r="Q169" t="s">
        <v>99</v>
      </c>
      <c r="R169" t="s">
        <v>99</v>
      </c>
      <c r="S169" t="s">
        <v>99</v>
      </c>
      <c r="T169" t="s">
        <v>15</v>
      </c>
      <c r="U169" t="s">
        <v>99</v>
      </c>
      <c r="V169" t="s">
        <v>99</v>
      </c>
      <c r="W169" t="s">
        <v>99</v>
      </c>
      <c r="X169" t="s">
        <v>99</v>
      </c>
      <c r="Y169" t="s">
        <v>4860</v>
      </c>
      <c r="Z169" t="s">
        <v>99</v>
      </c>
    </row>
    <row r="170" spans="1:26">
      <c r="A170" t="s">
        <v>4861</v>
      </c>
      <c r="B170" t="s">
        <v>94</v>
      </c>
      <c r="C170">
        <v>2018</v>
      </c>
      <c r="D170" t="s">
        <v>4253</v>
      </c>
      <c r="E170" t="s">
        <v>4254</v>
      </c>
      <c r="F170" t="s">
        <v>4255</v>
      </c>
      <c r="G170" t="s">
        <v>99</v>
      </c>
      <c r="H170" t="s">
        <v>99</v>
      </c>
      <c r="I170" t="s">
        <v>4256</v>
      </c>
      <c r="J170" t="s">
        <v>4257</v>
      </c>
      <c r="K170" t="s">
        <v>384</v>
      </c>
      <c r="L170" s="13">
        <v>44887.363807870373</v>
      </c>
      <c r="M170" s="13">
        <v>44887.363807870373</v>
      </c>
      <c r="N170" s="13"/>
      <c r="O170" t="s">
        <v>4258</v>
      </c>
      <c r="P170" t="s">
        <v>99</v>
      </c>
      <c r="Q170" t="s">
        <v>4862</v>
      </c>
      <c r="R170" t="s">
        <v>99</v>
      </c>
      <c r="S170" t="s">
        <v>99</v>
      </c>
      <c r="T170" t="s">
        <v>16</v>
      </c>
      <c r="U170" t="s">
        <v>99</v>
      </c>
      <c r="V170" t="s">
        <v>99</v>
      </c>
      <c r="W170" t="s">
        <v>99</v>
      </c>
      <c r="X170" t="s">
        <v>99</v>
      </c>
      <c r="Y170" t="s">
        <v>4863</v>
      </c>
      <c r="Z170" t="s">
        <v>99</v>
      </c>
    </row>
    <row r="171" spans="1:26">
      <c r="A171" t="s">
        <v>4864</v>
      </c>
      <c r="B171" t="s">
        <v>135</v>
      </c>
      <c r="C171">
        <v>2021</v>
      </c>
      <c r="D171" t="s">
        <v>4249</v>
      </c>
      <c r="E171" t="s">
        <v>4250</v>
      </c>
      <c r="F171" t="s">
        <v>3943</v>
      </c>
      <c r="G171" t="s">
        <v>99</v>
      </c>
      <c r="H171" t="s">
        <v>99</v>
      </c>
      <c r="I171" t="s">
        <v>99</v>
      </c>
      <c r="J171" t="s">
        <v>4251</v>
      </c>
      <c r="K171" t="s">
        <v>113</v>
      </c>
      <c r="L171" s="13">
        <v>44887.363807870373</v>
      </c>
      <c r="M171" s="13">
        <v>44887.363807870373</v>
      </c>
      <c r="N171" s="13"/>
      <c r="O171" t="s">
        <v>99</v>
      </c>
      <c r="P171" t="s">
        <v>99</v>
      </c>
      <c r="Q171" t="s">
        <v>4865</v>
      </c>
      <c r="R171" t="s">
        <v>99</v>
      </c>
      <c r="S171" t="s">
        <v>99</v>
      </c>
      <c r="T171" t="s">
        <v>99</v>
      </c>
      <c r="U171" t="s">
        <v>99</v>
      </c>
      <c r="V171" t="s">
        <v>99</v>
      </c>
      <c r="W171" t="s">
        <v>99</v>
      </c>
      <c r="X171" t="s">
        <v>4252</v>
      </c>
      <c r="Y171" t="s">
        <v>99</v>
      </c>
      <c r="Z171" t="s">
        <v>99</v>
      </c>
    </row>
    <row r="172" spans="1:26">
      <c r="A172" t="s">
        <v>4866</v>
      </c>
      <c r="B172" t="s">
        <v>94</v>
      </c>
      <c r="C172">
        <v>2022</v>
      </c>
      <c r="D172" t="s">
        <v>4243</v>
      </c>
      <c r="E172" t="s">
        <v>4244</v>
      </c>
      <c r="F172" t="s">
        <v>4245</v>
      </c>
      <c r="G172" t="s">
        <v>99</v>
      </c>
      <c r="H172" t="s">
        <v>99</v>
      </c>
      <c r="I172" t="s">
        <v>4246</v>
      </c>
      <c r="J172" t="s">
        <v>4247</v>
      </c>
      <c r="K172" t="s">
        <v>123</v>
      </c>
      <c r="L172" s="13">
        <v>44887.363807870373</v>
      </c>
      <c r="M172" s="13">
        <v>44887.363807870373</v>
      </c>
      <c r="N172" s="13"/>
      <c r="O172" t="s">
        <v>4248</v>
      </c>
      <c r="P172" t="s">
        <v>99</v>
      </c>
      <c r="Q172" t="s">
        <v>99</v>
      </c>
      <c r="R172" t="s">
        <v>99</v>
      </c>
      <c r="S172" t="s">
        <v>99</v>
      </c>
      <c r="T172" t="s">
        <v>15</v>
      </c>
      <c r="U172" t="s">
        <v>99</v>
      </c>
      <c r="V172" t="s">
        <v>99</v>
      </c>
      <c r="W172" t="s">
        <v>99</v>
      </c>
      <c r="X172" t="s">
        <v>99</v>
      </c>
      <c r="Y172" t="s">
        <v>4867</v>
      </c>
      <c r="Z172" t="s">
        <v>99</v>
      </c>
    </row>
    <row r="173" spans="1:26">
      <c r="A173" t="s">
        <v>4868</v>
      </c>
      <c r="B173" t="s">
        <v>94</v>
      </c>
      <c r="C173">
        <v>2011</v>
      </c>
      <c r="D173" t="s">
        <v>4237</v>
      </c>
      <c r="E173" t="s">
        <v>4238</v>
      </c>
      <c r="F173" t="s">
        <v>4239</v>
      </c>
      <c r="G173" t="s">
        <v>99</v>
      </c>
      <c r="H173" t="s">
        <v>99</v>
      </c>
      <c r="I173" t="s">
        <v>4240</v>
      </c>
      <c r="J173" t="s">
        <v>4241</v>
      </c>
      <c r="K173" t="s">
        <v>102</v>
      </c>
      <c r="L173" s="13">
        <v>44887.363807870373</v>
      </c>
      <c r="M173" s="13">
        <v>44887.363807870373</v>
      </c>
      <c r="N173" s="13"/>
      <c r="O173" t="s">
        <v>4242</v>
      </c>
      <c r="P173" t="s">
        <v>99</v>
      </c>
      <c r="Q173" t="s">
        <v>99</v>
      </c>
      <c r="R173" t="s">
        <v>99</v>
      </c>
      <c r="S173" t="s">
        <v>99</v>
      </c>
      <c r="T173" t="s">
        <v>4072</v>
      </c>
      <c r="U173" t="s">
        <v>99</v>
      </c>
      <c r="V173" t="s">
        <v>99</v>
      </c>
      <c r="W173" t="s">
        <v>99</v>
      </c>
      <c r="X173" t="s">
        <v>99</v>
      </c>
      <c r="Y173" t="s">
        <v>4869</v>
      </c>
      <c r="Z173" t="s">
        <v>99</v>
      </c>
    </row>
    <row r="174" spans="1:26">
      <c r="A174" t="s">
        <v>4870</v>
      </c>
      <c r="B174" t="s">
        <v>94</v>
      </c>
      <c r="C174">
        <v>2013</v>
      </c>
      <c r="D174" t="s">
        <v>4231</v>
      </c>
      <c r="E174" t="s">
        <v>4232</v>
      </c>
      <c r="F174" t="s">
        <v>4233</v>
      </c>
      <c r="G174" t="s">
        <v>99</v>
      </c>
      <c r="H174" t="s">
        <v>99</v>
      </c>
      <c r="I174" t="s">
        <v>4234</v>
      </c>
      <c r="J174" t="s">
        <v>4235</v>
      </c>
      <c r="K174" t="s">
        <v>139</v>
      </c>
      <c r="L174" s="13">
        <v>44887.363807870373</v>
      </c>
      <c r="M174" s="13">
        <v>44887.363807870373</v>
      </c>
      <c r="N174" s="13"/>
      <c r="O174" t="s">
        <v>4236</v>
      </c>
      <c r="P174" t="s">
        <v>99</v>
      </c>
      <c r="Q174" t="s">
        <v>99</v>
      </c>
      <c r="R174" t="s">
        <v>99</v>
      </c>
      <c r="S174" t="s">
        <v>99</v>
      </c>
      <c r="T174" t="s">
        <v>4028</v>
      </c>
      <c r="U174" t="s">
        <v>99</v>
      </c>
      <c r="V174" t="s">
        <v>99</v>
      </c>
      <c r="W174" t="s">
        <v>99</v>
      </c>
      <c r="X174" t="s">
        <v>99</v>
      </c>
      <c r="Y174" t="s">
        <v>4871</v>
      </c>
      <c r="Z174" t="s">
        <v>99</v>
      </c>
    </row>
    <row r="175" spans="1:26">
      <c r="A175" t="s">
        <v>4872</v>
      </c>
      <c r="B175" t="s">
        <v>94</v>
      </c>
      <c r="C175">
        <v>2019</v>
      </c>
      <c r="D175" t="s">
        <v>4219</v>
      </c>
      <c r="E175" t="s">
        <v>4220</v>
      </c>
      <c r="F175" t="s">
        <v>4221</v>
      </c>
      <c r="G175" t="s">
        <v>99</v>
      </c>
      <c r="H175" t="s">
        <v>99</v>
      </c>
      <c r="I175" t="s">
        <v>4222</v>
      </c>
      <c r="J175" t="s">
        <v>4223</v>
      </c>
      <c r="K175" t="s">
        <v>271</v>
      </c>
      <c r="L175" s="13">
        <v>44887.363807870373</v>
      </c>
      <c r="M175" s="13">
        <v>44887.363807870373</v>
      </c>
      <c r="N175" s="13"/>
      <c r="O175" t="s">
        <v>4224</v>
      </c>
      <c r="P175" t="s">
        <v>99</v>
      </c>
      <c r="Q175" t="s">
        <v>99</v>
      </c>
      <c r="R175" t="s">
        <v>99</v>
      </c>
      <c r="S175" t="s">
        <v>99</v>
      </c>
      <c r="T175" t="s">
        <v>167</v>
      </c>
      <c r="U175" t="s">
        <v>99</v>
      </c>
      <c r="V175" t="s">
        <v>99</v>
      </c>
      <c r="W175" t="s">
        <v>99</v>
      </c>
      <c r="X175" t="s">
        <v>99</v>
      </c>
      <c r="Y175" t="s">
        <v>99</v>
      </c>
      <c r="Z175" t="s">
        <v>99</v>
      </c>
    </row>
    <row r="176" spans="1:26">
      <c r="A176" t="s">
        <v>4873</v>
      </c>
      <c r="B176" t="s">
        <v>94</v>
      </c>
      <c r="C176">
        <v>2021</v>
      </c>
      <c r="D176" t="s">
        <v>4212</v>
      </c>
      <c r="E176" t="s">
        <v>4213</v>
      </c>
      <c r="F176" t="s">
        <v>4214</v>
      </c>
      <c r="G176" t="s">
        <v>99</v>
      </c>
      <c r="H176" t="s">
        <v>99</v>
      </c>
      <c r="I176" t="s">
        <v>4215</v>
      </c>
      <c r="J176" t="s">
        <v>4216</v>
      </c>
      <c r="K176" t="s">
        <v>113</v>
      </c>
      <c r="L176" s="13">
        <v>44887.363807870373</v>
      </c>
      <c r="M176" s="13">
        <v>44887.363807870373</v>
      </c>
      <c r="N176" s="13"/>
      <c r="O176" t="s">
        <v>4217</v>
      </c>
      <c r="P176" t="s">
        <v>99</v>
      </c>
      <c r="Q176" t="s">
        <v>4874</v>
      </c>
      <c r="R176" t="s">
        <v>99</v>
      </c>
      <c r="S176" t="s">
        <v>99</v>
      </c>
      <c r="T176" t="s">
        <v>4218</v>
      </c>
      <c r="U176" t="s">
        <v>99</v>
      </c>
      <c r="V176" t="s">
        <v>99</v>
      </c>
      <c r="W176" t="s">
        <v>99</v>
      </c>
      <c r="X176" t="s">
        <v>99</v>
      </c>
      <c r="Y176" t="s">
        <v>4875</v>
      </c>
      <c r="Z176" t="s">
        <v>99</v>
      </c>
    </row>
    <row r="177" spans="1:26">
      <c r="A177" t="s">
        <v>4876</v>
      </c>
      <c r="B177" t="s">
        <v>94</v>
      </c>
      <c r="C177">
        <v>2009</v>
      </c>
      <c r="D177" t="s">
        <v>4179</v>
      </c>
      <c r="E177" t="s">
        <v>4180</v>
      </c>
      <c r="F177" t="s">
        <v>4181</v>
      </c>
      <c r="G177" t="s">
        <v>99</v>
      </c>
      <c r="H177" t="s">
        <v>99</v>
      </c>
      <c r="I177" t="s">
        <v>4182</v>
      </c>
      <c r="J177" t="s">
        <v>4183</v>
      </c>
      <c r="K177" t="s">
        <v>615</v>
      </c>
      <c r="L177" s="13">
        <v>44887.363807870373</v>
      </c>
      <c r="M177" s="13">
        <v>44887.363807870373</v>
      </c>
      <c r="N177" s="13"/>
      <c r="O177" t="s">
        <v>4184</v>
      </c>
      <c r="P177" t="s">
        <v>99</v>
      </c>
      <c r="Q177" t="s">
        <v>99</v>
      </c>
      <c r="R177" t="s">
        <v>99</v>
      </c>
      <c r="S177" t="s">
        <v>99</v>
      </c>
      <c r="T177" t="s">
        <v>4072</v>
      </c>
      <c r="U177" t="s">
        <v>99</v>
      </c>
      <c r="V177" t="s">
        <v>99</v>
      </c>
      <c r="W177" t="s">
        <v>99</v>
      </c>
      <c r="X177" t="s">
        <v>99</v>
      </c>
      <c r="Y177" t="s">
        <v>4877</v>
      </c>
      <c r="Z177" t="s">
        <v>99</v>
      </c>
    </row>
    <row r="178" spans="1:26">
      <c r="A178" t="s">
        <v>4878</v>
      </c>
      <c r="B178" t="s">
        <v>94</v>
      </c>
      <c r="C178">
        <v>2019</v>
      </c>
      <c r="D178" t="s">
        <v>4115</v>
      </c>
      <c r="E178" t="s">
        <v>4116</v>
      </c>
      <c r="F178" t="s">
        <v>4117</v>
      </c>
      <c r="G178" t="s">
        <v>99</v>
      </c>
      <c r="H178" t="s">
        <v>99</v>
      </c>
      <c r="I178" t="s">
        <v>99</v>
      </c>
      <c r="J178" t="s">
        <v>4118</v>
      </c>
      <c r="K178" t="s">
        <v>271</v>
      </c>
      <c r="L178" s="13">
        <v>44887.363807870373</v>
      </c>
      <c r="M178" s="13">
        <v>44887.363807870373</v>
      </c>
      <c r="N178" s="13"/>
      <c r="O178" t="s">
        <v>578</v>
      </c>
      <c r="P178" t="s">
        <v>99</v>
      </c>
      <c r="Q178" t="s">
        <v>4879</v>
      </c>
      <c r="R178" t="s">
        <v>99</v>
      </c>
      <c r="S178" t="s">
        <v>99</v>
      </c>
      <c r="T178" t="s">
        <v>3958</v>
      </c>
      <c r="U178" t="s">
        <v>99</v>
      </c>
      <c r="V178" t="s">
        <v>99</v>
      </c>
      <c r="W178" t="s">
        <v>99</v>
      </c>
      <c r="X178" t="s">
        <v>99</v>
      </c>
      <c r="Y178" t="s">
        <v>4880</v>
      </c>
      <c r="Z178" t="s">
        <v>99</v>
      </c>
    </row>
    <row r="179" spans="1:26">
      <c r="A179" t="s">
        <v>4881</v>
      </c>
      <c r="B179" t="s">
        <v>94</v>
      </c>
      <c r="C179">
        <v>2021</v>
      </c>
      <c r="D179" t="s">
        <v>4167</v>
      </c>
      <c r="E179" t="s">
        <v>4168</v>
      </c>
      <c r="F179" t="s">
        <v>4169</v>
      </c>
      <c r="G179" t="s">
        <v>99</v>
      </c>
      <c r="H179" t="s">
        <v>99</v>
      </c>
      <c r="I179" t="s">
        <v>4170</v>
      </c>
      <c r="J179" t="s">
        <v>4171</v>
      </c>
      <c r="K179" t="s">
        <v>113</v>
      </c>
      <c r="L179" s="13">
        <v>44887.363807870373</v>
      </c>
      <c r="M179" s="13">
        <v>44887.363807870373</v>
      </c>
      <c r="N179" s="13"/>
      <c r="O179" t="s">
        <v>4172</v>
      </c>
      <c r="P179" t="s">
        <v>99</v>
      </c>
      <c r="Q179" t="s">
        <v>99</v>
      </c>
      <c r="R179" t="s">
        <v>99</v>
      </c>
      <c r="S179" t="s">
        <v>99</v>
      </c>
      <c r="T179" t="s">
        <v>4072</v>
      </c>
      <c r="U179" t="s">
        <v>99</v>
      </c>
      <c r="V179" t="s">
        <v>99</v>
      </c>
      <c r="W179" t="s">
        <v>99</v>
      </c>
      <c r="X179" t="s">
        <v>99</v>
      </c>
      <c r="Y179" t="s">
        <v>99</v>
      </c>
      <c r="Z179" t="s">
        <v>99</v>
      </c>
    </row>
    <row r="180" spans="1:26">
      <c r="A180" t="s">
        <v>4882</v>
      </c>
      <c r="B180" t="s">
        <v>94</v>
      </c>
      <c r="C180">
        <v>2010</v>
      </c>
      <c r="D180" t="s">
        <v>4125</v>
      </c>
      <c r="E180" t="s">
        <v>4126</v>
      </c>
      <c r="F180" t="s">
        <v>4127</v>
      </c>
      <c r="G180" t="s">
        <v>99</v>
      </c>
      <c r="H180" t="s">
        <v>99</v>
      </c>
      <c r="I180" t="s">
        <v>4128</v>
      </c>
      <c r="J180" t="s">
        <v>4129</v>
      </c>
      <c r="K180" t="s">
        <v>130</v>
      </c>
      <c r="L180" s="13">
        <v>44887.363807870373</v>
      </c>
      <c r="M180" s="13">
        <v>44887.363807870373</v>
      </c>
      <c r="N180" s="13"/>
      <c r="O180" t="s">
        <v>4130</v>
      </c>
      <c r="P180" t="s">
        <v>99</v>
      </c>
      <c r="Q180" t="s">
        <v>4883</v>
      </c>
      <c r="R180" t="s">
        <v>99</v>
      </c>
      <c r="S180" t="s">
        <v>99</v>
      </c>
      <c r="T180" t="s">
        <v>16</v>
      </c>
      <c r="U180" t="s">
        <v>99</v>
      </c>
      <c r="V180" t="s">
        <v>99</v>
      </c>
      <c r="W180" t="s">
        <v>99</v>
      </c>
      <c r="X180" t="s">
        <v>99</v>
      </c>
      <c r="Y180" t="s">
        <v>4884</v>
      </c>
      <c r="Z180" t="s">
        <v>99</v>
      </c>
    </row>
    <row r="181" spans="1:26">
      <c r="A181" t="s">
        <v>4885</v>
      </c>
      <c r="B181" t="s">
        <v>94</v>
      </c>
      <c r="C181">
        <v>2009</v>
      </c>
      <c r="D181" t="s">
        <v>4102</v>
      </c>
      <c r="E181" t="s">
        <v>4103</v>
      </c>
      <c r="F181" t="s">
        <v>4104</v>
      </c>
      <c r="G181" t="s">
        <v>99</v>
      </c>
      <c r="H181" t="s">
        <v>99</v>
      </c>
      <c r="I181" t="s">
        <v>4105</v>
      </c>
      <c r="J181" t="s">
        <v>4106</v>
      </c>
      <c r="K181" t="s">
        <v>615</v>
      </c>
      <c r="L181" s="13">
        <v>44887.363807870373</v>
      </c>
      <c r="M181" s="13">
        <v>44887.363807870373</v>
      </c>
      <c r="N181" s="13"/>
      <c r="O181" t="s">
        <v>4107</v>
      </c>
      <c r="P181" t="s">
        <v>99</v>
      </c>
      <c r="Q181" t="s">
        <v>4886</v>
      </c>
      <c r="R181" t="s">
        <v>99</v>
      </c>
      <c r="S181" t="s">
        <v>99</v>
      </c>
      <c r="T181" t="s">
        <v>16</v>
      </c>
      <c r="U181" t="s">
        <v>99</v>
      </c>
      <c r="V181" t="s">
        <v>99</v>
      </c>
      <c r="W181" t="s">
        <v>99</v>
      </c>
      <c r="X181" t="s">
        <v>99</v>
      </c>
      <c r="Y181" t="s">
        <v>4887</v>
      </c>
      <c r="Z181" t="s">
        <v>99</v>
      </c>
    </row>
    <row r="182" spans="1:26">
      <c r="A182" t="s">
        <v>4888</v>
      </c>
      <c r="B182" t="s">
        <v>94</v>
      </c>
      <c r="C182">
        <v>2019</v>
      </c>
      <c r="D182" t="s">
        <v>4097</v>
      </c>
      <c r="E182" t="s">
        <v>4098</v>
      </c>
      <c r="F182" t="s">
        <v>4099</v>
      </c>
      <c r="G182" t="s">
        <v>99</v>
      </c>
      <c r="H182" t="s">
        <v>99</v>
      </c>
      <c r="I182" t="s">
        <v>99</v>
      </c>
      <c r="J182" t="s">
        <v>4100</v>
      </c>
      <c r="K182" t="s">
        <v>271</v>
      </c>
      <c r="L182" s="13">
        <v>44887.363807870373</v>
      </c>
      <c r="M182" s="13">
        <v>44887.363807870373</v>
      </c>
      <c r="N182" s="13"/>
      <c r="O182" t="s">
        <v>99</v>
      </c>
      <c r="P182" t="s">
        <v>99</v>
      </c>
      <c r="Q182" t="s">
        <v>99</v>
      </c>
      <c r="R182" t="s">
        <v>99</v>
      </c>
      <c r="S182" t="s">
        <v>99</v>
      </c>
      <c r="T182" t="s">
        <v>4101</v>
      </c>
      <c r="U182" t="s">
        <v>99</v>
      </c>
      <c r="V182" t="s">
        <v>99</v>
      </c>
      <c r="W182" t="s">
        <v>99</v>
      </c>
      <c r="X182" t="s">
        <v>99</v>
      </c>
      <c r="Y182" t="s">
        <v>4889</v>
      </c>
      <c r="Z182" t="s">
        <v>99</v>
      </c>
    </row>
    <row r="183" spans="1:26">
      <c r="A183" t="s">
        <v>4890</v>
      </c>
      <c r="B183" t="s">
        <v>94</v>
      </c>
      <c r="C183">
        <v>2014</v>
      </c>
      <c r="D183" t="s">
        <v>4079</v>
      </c>
      <c r="E183" t="s">
        <v>4080</v>
      </c>
      <c r="F183" t="s">
        <v>4081</v>
      </c>
      <c r="G183" t="s">
        <v>99</v>
      </c>
      <c r="H183" t="s">
        <v>99</v>
      </c>
      <c r="I183" t="s">
        <v>4082</v>
      </c>
      <c r="J183" t="s">
        <v>4083</v>
      </c>
      <c r="K183" t="s">
        <v>400</v>
      </c>
      <c r="L183" s="13">
        <v>44887.363807870373</v>
      </c>
      <c r="M183" s="13">
        <v>44887.363807870373</v>
      </c>
      <c r="N183" s="13"/>
      <c r="O183" t="s">
        <v>4084</v>
      </c>
      <c r="P183" t="s">
        <v>99</v>
      </c>
      <c r="Q183" t="s">
        <v>99</v>
      </c>
      <c r="R183" t="s">
        <v>99</v>
      </c>
      <c r="S183" t="s">
        <v>99</v>
      </c>
      <c r="T183" t="s">
        <v>15</v>
      </c>
      <c r="U183" t="s">
        <v>99</v>
      </c>
      <c r="V183" t="s">
        <v>99</v>
      </c>
      <c r="W183" t="s">
        <v>99</v>
      </c>
      <c r="X183" t="s">
        <v>99</v>
      </c>
      <c r="Y183" t="s">
        <v>4891</v>
      </c>
      <c r="Z183" t="s">
        <v>99</v>
      </c>
    </row>
    <row r="184" spans="1:26">
      <c r="A184" t="s">
        <v>4892</v>
      </c>
      <c r="B184" t="s">
        <v>94</v>
      </c>
      <c r="C184">
        <v>2014</v>
      </c>
      <c r="D184" t="s">
        <v>4073</v>
      </c>
      <c r="E184" t="s">
        <v>4074</v>
      </c>
      <c r="F184" t="s">
        <v>4075</v>
      </c>
      <c r="G184" t="s">
        <v>99</v>
      </c>
      <c r="H184" t="s">
        <v>99</v>
      </c>
      <c r="I184" t="s">
        <v>4076</v>
      </c>
      <c r="J184" t="s">
        <v>4077</v>
      </c>
      <c r="K184" t="s">
        <v>400</v>
      </c>
      <c r="L184" s="13">
        <v>44887.363807870373</v>
      </c>
      <c r="M184" s="13">
        <v>44887.363807870373</v>
      </c>
      <c r="N184" s="13"/>
      <c r="O184" t="s">
        <v>4078</v>
      </c>
      <c r="P184" t="s">
        <v>99</v>
      </c>
      <c r="Q184" t="s">
        <v>99</v>
      </c>
      <c r="R184" t="s">
        <v>99</v>
      </c>
      <c r="S184" t="s">
        <v>99</v>
      </c>
      <c r="T184" t="s">
        <v>167</v>
      </c>
      <c r="U184" t="s">
        <v>99</v>
      </c>
      <c r="V184" t="s">
        <v>99</v>
      </c>
      <c r="W184" t="s">
        <v>99</v>
      </c>
      <c r="X184" t="s">
        <v>99</v>
      </c>
      <c r="Y184" t="s">
        <v>99</v>
      </c>
      <c r="Z184" t="s">
        <v>99</v>
      </c>
    </row>
    <row r="185" spans="1:26">
      <c r="A185" t="s">
        <v>4893</v>
      </c>
      <c r="B185" t="s">
        <v>94</v>
      </c>
      <c r="C185">
        <v>2010</v>
      </c>
      <c r="D185" t="s">
        <v>4035</v>
      </c>
      <c r="E185" t="s">
        <v>4036</v>
      </c>
      <c r="F185" t="s">
        <v>4037</v>
      </c>
      <c r="G185" t="s">
        <v>99</v>
      </c>
      <c r="H185" t="s">
        <v>99</v>
      </c>
      <c r="I185" t="s">
        <v>99</v>
      </c>
      <c r="J185" t="s">
        <v>4038</v>
      </c>
      <c r="K185" t="s">
        <v>130</v>
      </c>
      <c r="L185" s="13">
        <v>44887.363807870373</v>
      </c>
      <c r="M185" s="13">
        <v>44887.363807870373</v>
      </c>
      <c r="N185" s="13"/>
      <c r="O185" t="s">
        <v>4039</v>
      </c>
      <c r="P185" t="s">
        <v>99</v>
      </c>
      <c r="Q185" t="s">
        <v>99</v>
      </c>
      <c r="R185" t="s">
        <v>99</v>
      </c>
      <c r="S185" t="s">
        <v>99</v>
      </c>
      <c r="T185" t="s">
        <v>4040</v>
      </c>
      <c r="U185" t="s">
        <v>99</v>
      </c>
      <c r="V185" t="s">
        <v>99</v>
      </c>
      <c r="W185" t="s">
        <v>99</v>
      </c>
      <c r="X185" t="s">
        <v>99</v>
      </c>
      <c r="Y185" t="s">
        <v>4894</v>
      </c>
      <c r="Z185" t="s">
        <v>99</v>
      </c>
    </row>
    <row r="186" spans="1:26">
      <c r="A186" t="s">
        <v>4895</v>
      </c>
      <c r="B186" t="s">
        <v>94</v>
      </c>
      <c r="C186">
        <v>2006</v>
      </c>
      <c r="D186" t="s">
        <v>4051</v>
      </c>
      <c r="E186" t="s">
        <v>4052</v>
      </c>
      <c r="F186" t="s">
        <v>4053</v>
      </c>
      <c r="G186" t="s">
        <v>99</v>
      </c>
      <c r="H186" t="s">
        <v>99</v>
      </c>
      <c r="I186" t="s">
        <v>99</v>
      </c>
      <c r="J186" t="s">
        <v>99</v>
      </c>
      <c r="K186" t="s">
        <v>279</v>
      </c>
      <c r="L186" s="13">
        <v>44887.363807870373</v>
      </c>
      <c r="M186" s="13">
        <v>44887.363807870373</v>
      </c>
      <c r="N186" s="13"/>
      <c r="O186" t="s">
        <v>4054</v>
      </c>
      <c r="P186" t="s">
        <v>99</v>
      </c>
      <c r="Q186" t="s">
        <v>99</v>
      </c>
      <c r="R186" t="s">
        <v>99</v>
      </c>
      <c r="S186" t="s">
        <v>99</v>
      </c>
      <c r="T186" t="s">
        <v>4055</v>
      </c>
      <c r="U186" t="s">
        <v>99</v>
      </c>
      <c r="V186" t="s">
        <v>99</v>
      </c>
      <c r="W186" t="s">
        <v>99</v>
      </c>
      <c r="X186" t="s">
        <v>99</v>
      </c>
      <c r="Y186" t="s">
        <v>4896</v>
      </c>
      <c r="Z186" t="s">
        <v>99</v>
      </c>
    </row>
    <row r="187" spans="1:26">
      <c r="A187" t="s">
        <v>4897</v>
      </c>
      <c r="B187" t="s">
        <v>94</v>
      </c>
      <c r="C187">
        <v>2020</v>
      </c>
      <c r="D187" t="s">
        <v>4029</v>
      </c>
      <c r="E187" t="s">
        <v>4030</v>
      </c>
      <c r="F187" t="s">
        <v>4031</v>
      </c>
      <c r="G187" t="s">
        <v>99</v>
      </c>
      <c r="H187" t="s">
        <v>99</v>
      </c>
      <c r="I187" t="s">
        <v>4032</v>
      </c>
      <c r="J187" t="s">
        <v>4033</v>
      </c>
      <c r="K187" t="s">
        <v>176</v>
      </c>
      <c r="L187" s="13">
        <v>44887.363807870373</v>
      </c>
      <c r="M187" s="13">
        <v>44887.363807870373</v>
      </c>
      <c r="N187" s="13"/>
      <c r="O187" t="s">
        <v>4034</v>
      </c>
      <c r="P187" t="s">
        <v>99</v>
      </c>
      <c r="Q187" t="s">
        <v>4898</v>
      </c>
      <c r="R187" t="s">
        <v>99</v>
      </c>
      <c r="S187" t="s">
        <v>99</v>
      </c>
      <c r="T187" t="s">
        <v>16</v>
      </c>
      <c r="U187" t="s">
        <v>99</v>
      </c>
      <c r="V187" t="s">
        <v>99</v>
      </c>
      <c r="W187" t="s">
        <v>99</v>
      </c>
      <c r="X187" t="s">
        <v>99</v>
      </c>
      <c r="Y187" t="s">
        <v>4899</v>
      </c>
      <c r="Z187" t="s">
        <v>99</v>
      </c>
    </row>
    <row r="188" spans="1:26">
      <c r="A188" t="s">
        <v>4900</v>
      </c>
      <c r="B188" t="s">
        <v>135</v>
      </c>
      <c r="C188">
        <v>2019</v>
      </c>
      <c r="D188" t="s">
        <v>4016</v>
      </c>
      <c r="E188" t="s">
        <v>4017</v>
      </c>
      <c r="F188" t="s">
        <v>4018</v>
      </c>
      <c r="G188" t="s">
        <v>99</v>
      </c>
      <c r="H188" t="s">
        <v>99</v>
      </c>
      <c r="I188" t="s">
        <v>4019</v>
      </c>
      <c r="J188" t="s">
        <v>4020</v>
      </c>
      <c r="K188" t="s">
        <v>271</v>
      </c>
      <c r="L188" s="13">
        <v>44887.363807870373</v>
      </c>
      <c r="M188" s="13">
        <v>44887.363807870373</v>
      </c>
      <c r="N188" s="13"/>
      <c r="O188" t="s">
        <v>4021</v>
      </c>
      <c r="P188" t="s">
        <v>941</v>
      </c>
      <c r="Q188" t="s">
        <v>3584</v>
      </c>
      <c r="R188" t="s">
        <v>99</v>
      </c>
      <c r="S188" t="s">
        <v>99</v>
      </c>
      <c r="T188" t="s">
        <v>99</v>
      </c>
      <c r="U188" t="s">
        <v>99</v>
      </c>
      <c r="V188" t="s">
        <v>99</v>
      </c>
      <c r="W188" t="s">
        <v>99</v>
      </c>
      <c r="X188" t="s">
        <v>99</v>
      </c>
      <c r="Y188" t="s">
        <v>99</v>
      </c>
      <c r="Z188" t="s">
        <v>99</v>
      </c>
    </row>
    <row r="189" spans="1:26">
      <c r="A189" t="s">
        <v>4901</v>
      </c>
      <c r="B189" t="s">
        <v>94</v>
      </c>
      <c r="C189">
        <v>2005</v>
      </c>
      <c r="D189" t="s">
        <v>4010</v>
      </c>
      <c r="E189" t="s">
        <v>4011</v>
      </c>
      <c r="F189" t="s">
        <v>4012</v>
      </c>
      <c r="G189" t="s">
        <v>99</v>
      </c>
      <c r="H189" t="s">
        <v>99</v>
      </c>
      <c r="I189" t="s">
        <v>4013</v>
      </c>
      <c r="J189" t="s">
        <v>4014</v>
      </c>
      <c r="K189" t="s">
        <v>846</v>
      </c>
      <c r="L189" s="13">
        <v>44887.363807870373</v>
      </c>
      <c r="M189" s="13">
        <v>44887.363807870373</v>
      </c>
      <c r="N189" s="13"/>
      <c r="O189" t="s">
        <v>4015</v>
      </c>
      <c r="P189" t="s">
        <v>99</v>
      </c>
      <c r="Q189" t="s">
        <v>99</v>
      </c>
      <c r="R189" t="s">
        <v>99</v>
      </c>
      <c r="S189" t="s">
        <v>99</v>
      </c>
      <c r="T189" t="s">
        <v>167</v>
      </c>
      <c r="U189" t="s">
        <v>99</v>
      </c>
      <c r="V189" t="s">
        <v>99</v>
      </c>
      <c r="W189" t="s">
        <v>99</v>
      </c>
      <c r="X189" t="s">
        <v>99</v>
      </c>
      <c r="Y189" t="s">
        <v>4902</v>
      </c>
      <c r="Z189" t="s">
        <v>99</v>
      </c>
    </row>
    <row r="190" spans="1:26">
      <c r="A190" t="s">
        <v>4903</v>
      </c>
      <c r="B190" t="s">
        <v>135</v>
      </c>
      <c r="C190">
        <v>2020</v>
      </c>
      <c r="D190" t="s">
        <v>3979</v>
      </c>
      <c r="E190" t="s">
        <v>3980</v>
      </c>
      <c r="F190" t="s">
        <v>3981</v>
      </c>
      <c r="G190" t="s">
        <v>99</v>
      </c>
      <c r="H190" t="s">
        <v>99</v>
      </c>
      <c r="I190" t="s">
        <v>3982</v>
      </c>
      <c r="J190" t="s">
        <v>3983</v>
      </c>
      <c r="K190" t="s">
        <v>176</v>
      </c>
      <c r="L190" s="13">
        <v>44887.363807870373</v>
      </c>
      <c r="M190" s="13">
        <v>44887.363807870373</v>
      </c>
      <c r="N190" s="13"/>
      <c r="O190" t="s">
        <v>3984</v>
      </c>
      <c r="P190" t="s">
        <v>236</v>
      </c>
      <c r="Q190" t="s">
        <v>4904</v>
      </c>
      <c r="R190" t="s">
        <v>99</v>
      </c>
      <c r="S190" t="s">
        <v>99</v>
      </c>
      <c r="T190" t="s">
        <v>99</v>
      </c>
      <c r="U190" t="s">
        <v>99</v>
      </c>
      <c r="V190" t="s">
        <v>99</v>
      </c>
      <c r="W190" t="s">
        <v>99</v>
      </c>
      <c r="X190" t="s">
        <v>99</v>
      </c>
      <c r="Y190" t="s">
        <v>99</v>
      </c>
      <c r="Z190" t="s">
        <v>99</v>
      </c>
    </row>
    <row r="191" spans="1:26">
      <c r="A191" t="s">
        <v>4905</v>
      </c>
      <c r="B191" t="s">
        <v>94</v>
      </c>
      <c r="C191">
        <v>2016</v>
      </c>
      <c r="D191" t="s">
        <v>3992</v>
      </c>
      <c r="E191" t="s">
        <v>3993</v>
      </c>
      <c r="F191" t="s">
        <v>3994</v>
      </c>
      <c r="G191" t="s">
        <v>99</v>
      </c>
      <c r="H191" t="s">
        <v>99</v>
      </c>
      <c r="I191" t="s">
        <v>3995</v>
      </c>
      <c r="J191" t="s">
        <v>3996</v>
      </c>
      <c r="K191" t="s">
        <v>331</v>
      </c>
      <c r="L191" s="13">
        <v>44887.363807870373</v>
      </c>
      <c r="M191" s="13">
        <v>44887.363807870373</v>
      </c>
      <c r="N191" s="13"/>
      <c r="O191" t="s">
        <v>3997</v>
      </c>
      <c r="P191" t="s">
        <v>99</v>
      </c>
      <c r="Q191" t="s">
        <v>99</v>
      </c>
      <c r="R191" t="s">
        <v>99</v>
      </c>
      <c r="S191" t="s">
        <v>99</v>
      </c>
      <c r="T191" t="s">
        <v>167</v>
      </c>
      <c r="U191" t="s">
        <v>99</v>
      </c>
      <c r="V191" t="s">
        <v>99</v>
      </c>
      <c r="W191" t="s">
        <v>99</v>
      </c>
      <c r="X191" t="s">
        <v>99</v>
      </c>
      <c r="Y191" t="s">
        <v>4906</v>
      </c>
      <c r="Z191" t="s">
        <v>99</v>
      </c>
    </row>
    <row r="192" spans="1:26">
      <c r="A192" t="s">
        <v>4907</v>
      </c>
      <c r="B192" t="s">
        <v>94</v>
      </c>
      <c r="C192">
        <v>2018</v>
      </c>
      <c r="D192" t="s">
        <v>3985</v>
      </c>
      <c r="E192" t="s">
        <v>3986</v>
      </c>
      <c r="F192" t="s">
        <v>3987</v>
      </c>
      <c r="G192" t="s">
        <v>99</v>
      </c>
      <c r="H192" t="s">
        <v>99</v>
      </c>
      <c r="I192" t="s">
        <v>3988</v>
      </c>
      <c r="J192" t="s">
        <v>3989</v>
      </c>
      <c r="K192" t="s">
        <v>384</v>
      </c>
      <c r="L192" s="13">
        <v>44887.363807870373</v>
      </c>
      <c r="M192" s="13">
        <v>44887.363807870373</v>
      </c>
      <c r="N192" s="13"/>
      <c r="O192" t="s">
        <v>3990</v>
      </c>
      <c r="P192" t="s">
        <v>99</v>
      </c>
      <c r="Q192" t="s">
        <v>99</v>
      </c>
      <c r="R192" t="s">
        <v>99</v>
      </c>
      <c r="S192" t="s">
        <v>99</v>
      </c>
      <c r="T192" t="s">
        <v>3991</v>
      </c>
      <c r="U192" t="s">
        <v>99</v>
      </c>
      <c r="V192" t="s">
        <v>99</v>
      </c>
      <c r="W192" t="s">
        <v>99</v>
      </c>
      <c r="X192" t="s">
        <v>99</v>
      </c>
      <c r="Y192" t="s">
        <v>4908</v>
      </c>
      <c r="Z192" t="s">
        <v>99</v>
      </c>
    </row>
    <row r="193" spans="1:26">
      <c r="A193" t="s">
        <v>4909</v>
      </c>
      <c r="B193" t="s">
        <v>135</v>
      </c>
      <c r="C193">
        <v>2002</v>
      </c>
      <c r="D193" t="s">
        <v>3965</v>
      </c>
      <c r="E193" t="s">
        <v>3966</v>
      </c>
      <c r="F193" t="s">
        <v>3943</v>
      </c>
      <c r="G193" t="s">
        <v>99</v>
      </c>
      <c r="H193" t="s">
        <v>99</v>
      </c>
      <c r="I193" t="s">
        <v>99</v>
      </c>
      <c r="J193" t="s">
        <v>3967</v>
      </c>
      <c r="K193" t="s">
        <v>1668</v>
      </c>
      <c r="L193" s="13">
        <v>44887.363807870373</v>
      </c>
      <c r="M193" s="13">
        <v>44887.363807870373</v>
      </c>
      <c r="N193" s="13"/>
      <c r="O193" t="s">
        <v>99</v>
      </c>
      <c r="P193" t="s">
        <v>99</v>
      </c>
      <c r="Q193" t="s">
        <v>4910</v>
      </c>
      <c r="R193" t="s">
        <v>99</v>
      </c>
      <c r="S193" t="s">
        <v>99</v>
      </c>
      <c r="T193" t="s">
        <v>99</v>
      </c>
      <c r="U193" t="s">
        <v>99</v>
      </c>
      <c r="V193" t="s">
        <v>99</v>
      </c>
      <c r="W193" t="s">
        <v>99</v>
      </c>
      <c r="X193" t="s">
        <v>99</v>
      </c>
      <c r="Y193" t="s">
        <v>99</v>
      </c>
      <c r="Z193" t="s">
        <v>99</v>
      </c>
    </row>
    <row r="194" spans="1:26">
      <c r="A194" t="s">
        <v>4911</v>
      </c>
      <c r="B194" t="s">
        <v>94</v>
      </c>
      <c r="C194">
        <v>2012</v>
      </c>
      <c r="D194" t="s">
        <v>3959</v>
      </c>
      <c r="E194" t="s">
        <v>3960</v>
      </c>
      <c r="F194" t="s">
        <v>3961</v>
      </c>
      <c r="G194" t="s">
        <v>99</v>
      </c>
      <c r="H194" t="s">
        <v>99</v>
      </c>
      <c r="I194" t="s">
        <v>3962</v>
      </c>
      <c r="J194" t="s">
        <v>3963</v>
      </c>
      <c r="K194" t="s">
        <v>351</v>
      </c>
      <c r="L194" s="13">
        <v>44887.363807870373</v>
      </c>
      <c r="M194" s="13">
        <v>44887.363807870373</v>
      </c>
      <c r="N194" s="13"/>
      <c r="O194" t="s">
        <v>3964</v>
      </c>
      <c r="P194" t="s">
        <v>99</v>
      </c>
      <c r="Q194" t="s">
        <v>4912</v>
      </c>
      <c r="R194" t="s">
        <v>99</v>
      </c>
      <c r="S194" t="s">
        <v>99</v>
      </c>
      <c r="T194" t="s">
        <v>16</v>
      </c>
      <c r="U194" t="s">
        <v>99</v>
      </c>
      <c r="V194" t="s">
        <v>99</v>
      </c>
      <c r="W194" t="s">
        <v>99</v>
      </c>
      <c r="X194" t="s">
        <v>99</v>
      </c>
      <c r="Y194" t="s">
        <v>4913</v>
      </c>
      <c r="Z194" t="s">
        <v>99</v>
      </c>
    </row>
    <row r="195" spans="1:26">
      <c r="A195" t="s">
        <v>4914</v>
      </c>
      <c r="B195" t="s">
        <v>94</v>
      </c>
      <c r="C195">
        <v>2015</v>
      </c>
      <c r="D195" t="s">
        <v>3953</v>
      </c>
      <c r="E195" t="s">
        <v>3954</v>
      </c>
      <c r="F195" t="s">
        <v>3955</v>
      </c>
      <c r="G195" t="s">
        <v>99</v>
      </c>
      <c r="H195" t="s">
        <v>99</v>
      </c>
      <c r="I195" t="s">
        <v>99</v>
      </c>
      <c r="J195" t="s">
        <v>3956</v>
      </c>
      <c r="K195" t="s">
        <v>564</v>
      </c>
      <c r="L195" s="13">
        <v>44887.363807870373</v>
      </c>
      <c r="M195" s="13">
        <v>44887.363807870373</v>
      </c>
      <c r="N195" s="13"/>
      <c r="O195" t="s">
        <v>3957</v>
      </c>
      <c r="P195" t="s">
        <v>99</v>
      </c>
      <c r="Q195" t="s">
        <v>4915</v>
      </c>
      <c r="R195" t="s">
        <v>99</v>
      </c>
      <c r="S195" t="s">
        <v>99</v>
      </c>
      <c r="T195" t="s">
        <v>3958</v>
      </c>
      <c r="U195" t="s">
        <v>99</v>
      </c>
      <c r="V195" t="s">
        <v>99</v>
      </c>
      <c r="W195" t="s">
        <v>99</v>
      </c>
      <c r="X195" t="s">
        <v>99</v>
      </c>
      <c r="Y195" t="s">
        <v>4916</v>
      </c>
      <c r="Z195" t="s">
        <v>99</v>
      </c>
    </row>
    <row r="196" spans="1:26">
      <c r="A196" t="s">
        <v>4917</v>
      </c>
      <c r="B196" t="s">
        <v>135</v>
      </c>
      <c r="C196">
        <v>2022</v>
      </c>
      <c r="D196" t="s">
        <v>3941</v>
      </c>
      <c r="E196" t="s">
        <v>3942</v>
      </c>
      <c r="F196" t="s">
        <v>3943</v>
      </c>
      <c r="G196" t="s">
        <v>99</v>
      </c>
      <c r="H196" t="s">
        <v>99</v>
      </c>
      <c r="I196" t="s">
        <v>3944</v>
      </c>
      <c r="J196" t="s">
        <v>3945</v>
      </c>
      <c r="K196" t="s">
        <v>123</v>
      </c>
      <c r="L196" s="13">
        <v>44887.363807870373</v>
      </c>
      <c r="M196" s="13">
        <v>44887.363807870373</v>
      </c>
      <c r="N196" s="13"/>
      <c r="O196" t="s">
        <v>99</v>
      </c>
      <c r="P196" t="s">
        <v>99</v>
      </c>
      <c r="Q196" t="s">
        <v>4918</v>
      </c>
      <c r="R196" t="s">
        <v>99</v>
      </c>
      <c r="S196" t="s">
        <v>99</v>
      </c>
      <c r="T196" t="s">
        <v>99</v>
      </c>
      <c r="U196" t="s">
        <v>99</v>
      </c>
      <c r="V196" t="s">
        <v>99</v>
      </c>
      <c r="W196" t="s">
        <v>99</v>
      </c>
      <c r="X196" t="s">
        <v>3946</v>
      </c>
      <c r="Y196" t="s">
        <v>99</v>
      </c>
      <c r="Z196" t="s">
        <v>99</v>
      </c>
    </row>
    <row r="197" spans="1:26">
      <c r="A197" t="s">
        <v>4919</v>
      </c>
      <c r="B197" t="s">
        <v>94</v>
      </c>
      <c r="C197">
        <v>2009</v>
      </c>
      <c r="D197" t="s">
        <v>3077</v>
      </c>
      <c r="E197" t="s">
        <v>3078</v>
      </c>
      <c r="F197" t="s">
        <v>3079</v>
      </c>
      <c r="G197" t="s">
        <v>3080</v>
      </c>
      <c r="H197" t="s">
        <v>99</v>
      </c>
      <c r="I197" t="s">
        <v>99</v>
      </c>
      <c r="J197" t="s">
        <v>3081</v>
      </c>
      <c r="K197" t="s">
        <v>615</v>
      </c>
      <c r="L197" s="13">
        <v>44887.363807870373</v>
      </c>
      <c r="M197" s="13">
        <v>44887.363807870373</v>
      </c>
      <c r="N197" s="13">
        <v>44886.598009259258</v>
      </c>
      <c r="O197" t="s">
        <v>3082</v>
      </c>
      <c r="P197" t="s">
        <v>99</v>
      </c>
      <c r="Q197" t="s">
        <v>4920</v>
      </c>
      <c r="R197" t="s">
        <v>99</v>
      </c>
      <c r="S197" t="s">
        <v>99</v>
      </c>
      <c r="T197" t="s">
        <v>1218</v>
      </c>
      <c r="U197" t="s">
        <v>133</v>
      </c>
      <c r="V197" t="s">
        <v>4495</v>
      </c>
      <c r="W197" t="s">
        <v>4496</v>
      </c>
      <c r="X197" t="s">
        <v>3083</v>
      </c>
      <c r="Y197" t="s">
        <v>4921</v>
      </c>
      <c r="Z197" t="s">
        <v>99</v>
      </c>
    </row>
    <row r="198" spans="1:26">
      <c r="A198" t="s">
        <v>4922</v>
      </c>
      <c r="B198" t="s">
        <v>94</v>
      </c>
      <c r="C198">
        <v>2019</v>
      </c>
      <c r="D198" t="s">
        <v>3947</v>
      </c>
      <c r="E198" t="s">
        <v>3948</v>
      </c>
      <c r="F198" t="s">
        <v>3949</v>
      </c>
      <c r="G198" t="s">
        <v>99</v>
      </c>
      <c r="H198" t="s">
        <v>99</v>
      </c>
      <c r="I198" t="s">
        <v>3950</v>
      </c>
      <c r="J198" t="s">
        <v>3951</v>
      </c>
      <c r="K198" t="s">
        <v>271</v>
      </c>
      <c r="L198" s="13">
        <v>44887.363807870373</v>
      </c>
      <c r="M198" s="13">
        <v>44887.363807870373</v>
      </c>
      <c r="N198" s="13"/>
      <c r="O198" t="s">
        <v>3952</v>
      </c>
      <c r="P198" t="s">
        <v>99</v>
      </c>
      <c r="Q198" t="s">
        <v>4923</v>
      </c>
      <c r="R198" t="s">
        <v>99</v>
      </c>
      <c r="S198" t="s">
        <v>99</v>
      </c>
      <c r="T198" t="s">
        <v>16</v>
      </c>
      <c r="U198" t="s">
        <v>99</v>
      </c>
      <c r="V198" t="s">
        <v>99</v>
      </c>
      <c r="W198" t="s">
        <v>99</v>
      </c>
      <c r="X198" t="s">
        <v>99</v>
      </c>
      <c r="Y198" t="s">
        <v>4924</v>
      </c>
      <c r="Z198" t="s">
        <v>99</v>
      </c>
    </row>
    <row r="199" spans="1:26">
      <c r="A199" t="s">
        <v>4925</v>
      </c>
      <c r="B199" t="s">
        <v>94</v>
      </c>
      <c r="C199">
        <v>2012</v>
      </c>
      <c r="D199" t="s">
        <v>2301</v>
      </c>
      <c r="E199" t="s">
        <v>2302</v>
      </c>
      <c r="F199" t="s">
        <v>2303</v>
      </c>
      <c r="G199" t="s">
        <v>2304</v>
      </c>
      <c r="H199" t="s">
        <v>99</v>
      </c>
      <c r="I199" t="s">
        <v>99</v>
      </c>
      <c r="J199" t="s">
        <v>2305</v>
      </c>
      <c r="K199" t="s">
        <v>351</v>
      </c>
      <c r="L199" s="13">
        <v>44887.363807870373</v>
      </c>
      <c r="M199" s="13">
        <v>44887.363807870373</v>
      </c>
      <c r="N199" s="13">
        <v>44886.598078703704</v>
      </c>
      <c r="O199" t="s">
        <v>2306</v>
      </c>
      <c r="P199" t="s">
        <v>99</v>
      </c>
      <c r="Q199" t="s">
        <v>4926</v>
      </c>
      <c r="R199" t="s">
        <v>99</v>
      </c>
      <c r="S199" t="s">
        <v>99</v>
      </c>
      <c r="T199" t="s">
        <v>1218</v>
      </c>
      <c r="U199" t="s">
        <v>133</v>
      </c>
      <c r="V199" t="s">
        <v>99</v>
      </c>
      <c r="W199" t="s">
        <v>4496</v>
      </c>
      <c r="X199" t="s">
        <v>2307</v>
      </c>
      <c r="Y199" t="s">
        <v>4927</v>
      </c>
      <c r="Z199" t="s">
        <v>4568</v>
      </c>
    </row>
    <row r="200" spans="1:26">
      <c r="A200" t="s">
        <v>4928</v>
      </c>
      <c r="B200" t="s">
        <v>94</v>
      </c>
      <c r="C200">
        <v>2016</v>
      </c>
      <c r="D200" t="s">
        <v>2957</v>
      </c>
      <c r="E200" t="s">
        <v>2958</v>
      </c>
      <c r="F200" t="s">
        <v>2959</v>
      </c>
      <c r="G200" t="s">
        <v>2960</v>
      </c>
      <c r="H200" t="s">
        <v>99</v>
      </c>
      <c r="I200" t="s">
        <v>99</v>
      </c>
      <c r="J200" t="s">
        <v>2961</v>
      </c>
      <c r="K200" t="s">
        <v>331</v>
      </c>
      <c r="L200" s="13">
        <v>44887.363807870373</v>
      </c>
      <c r="M200" s="13">
        <v>44887.363807870373</v>
      </c>
      <c r="N200" s="13">
        <v>44886.59815972222</v>
      </c>
      <c r="O200" t="s">
        <v>2962</v>
      </c>
      <c r="P200" t="s">
        <v>99</v>
      </c>
      <c r="Q200" t="s">
        <v>4929</v>
      </c>
      <c r="R200" t="s">
        <v>99</v>
      </c>
      <c r="S200" t="s">
        <v>99</v>
      </c>
      <c r="T200" t="s">
        <v>1226</v>
      </c>
      <c r="U200" t="s">
        <v>1227</v>
      </c>
      <c r="V200" t="s">
        <v>99</v>
      </c>
      <c r="W200" t="s">
        <v>4496</v>
      </c>
      <c r="X200" t="s">
        <v>2963</v>
      </c>
      <c r="Y200" t="s">
        <v>4602</v>
      </c>
      <c r="Z200" t="s">
        <v>99</v>
      </c>
    </row>
    <row r="201" spans="1:26">
      <c r="A201" t="s">
        <v>4930</v>
      </c>
      <c r="B201" t="s">
        <v>94</v>
      </c>
      <c r="C201">
        <v>2018</v>
      </c>
      <c r="D201" t="s">
        <v>639</v>
      </c>
      <c r="E201" t="s">
        <v>640</v>
      </c>
      <c r="F201" t="s">
        <v>590</v>
      </c>
      <c r="G201" t="s">
        <v>99</v>
      </c>
      <c r="H201" t="s">
        <v>99</v>
      </c>
      <c r="I201" t="s">
        <v>99</v>
      </c>
      <c r="J201" t="s">
        <v>99</v>
      </c>
      <c r="K201" t="s">
        <v>384</v>
      </c>
      <c r="L201" s="13">
        <v>44887.363807870373</v>
      </c>
      <c r="M201" s="13">
        <v>44887.363807870373</v>
      </c>
      <c r="N201" s="13"/>
      <c r="O201" t="s">
        <v>641</v>
      </c>
      <c r="P201" t="s">
        <v>99</v>
      </c>
      <c r="Q201" t="s">
        <v>99</v>
      </c>
      <c r="R201" t="s">
        <v>99</v>
      </c>
      <c r="S201" t="s">
        <v>99</v>
      </c>
      <c r="T201" t="s">
        <v>592</v>
      </c>
      <c r="U201" t="s">
        <v>593</v>
      </c>
      <c r="V201" t="s">
        <v>99</v>
      </c>
      <c r="W201" t="s">
        <v>99</v>
      </c>
      <c r="X201" t="s">
        <v>594</v>
      </c>
      <c r="Y201" t="s">
        <v>99</v>
      </c>
      <c r="Z201" t="s">
        <v>99</v>
      </c>
    </row>
    <row r="202" spans="1:26">
      <c r="A202" t="s">
        <v>4931</v>
      </c>
      <c r="B202" t="s">
        <v>222</v>
      </c>
      <c r="C202">
        <v>2016</v>
      </c>
      <c r="D202" t="s">
        <v>634</v>
      </c>
      <c r="E202" t="s">
        <v>635</v>
      </c>
      <c r="F202" t="s">
        <v>636</v>
      </c>
      <c r="G202" t="s">
        <v>637</v>
      </c>
      <c r="H202" t="s">
        <v>99</v>
      </c>
      <c r="I202" t="s">
        <v>99</v>
      </c>
      <c r="J202" t="s">
        <v>99</v>
      </c>
      <c r="K202" t="s">
        <v>331</v>
      </c>
      <c r="L202" s="13">
        <v>44887.363807870373</v>
      </c>
      <c r="M202" s="13">
        <v>44887.363807870373</v>
      </c>
      <c r="N202" s="13"/>
      <c r="O202" t="s">
        <v>638</v>
      </c>
      <c r="P202" t="s">
        <v>99</v>
      </c>
      <c r="Q202" t="s">
        <v>99</v>
      </c>
      <c r="R202" t="s">
        <v>99</v>
      </c>
      <c r="S202" t="s">
        <v>99</v>
      </c>
      <c r="T202" t="s">
        <v>115</v>
      </c>
      <c r="U202" t="s">
        <v>99</v>
      </c>
      <c r="V202" t="s">
        <v>99</v>
      </c>
      <c r="W202" t="s">
        <v>99</v>
      </c>
      <c r="X202" t="s">
        <v>99</v>
      </c>
      <c r="Y202" t="s">
        <v>99</v>
      </c>
      <c r="Z202" t="s">
        <v>99</v>
      </c>
    </row>
    <row r="203" spans="1:26">
      <c r="A203" t="s">
        <v>4932</v>
      </c>
      <c r="B203" t="s">
        <v>94</v>
      </c>
      <c r="C203">
        <v>2019</v>
      </c>
      <c r="D203" t="s">
        <v>626</v>
      </c>
      <c r="E203" t="s">
        <v>627</v>
      </c>
      <c r="F203" t="s">
        <v>628</v>
      </c>
      <c r="G203" t="s">
        <v>629</v>
      </c>
      <c r="H203" t="s">
        <v>99</v>
      </c>
      <c r="I203" t="s">
        <v>630</v>
      </c>
      <c r="J203" t="s">
        <v>631</v>
      </c>
      <c r="K203" t="s">
        <v>271</v>
      </c>
      <c r="L203" s="13">
        <v>44887.363807870373</v>
      </c>
      <c r="M203" s="13">
        <v>44887.363807870373</v>
      </c>
      <c r="N203" s="13"/>
      <c r="O203" t="s">
        <v>632</v>
      </c>
      <c r="P203" t="s">
        <v>99</v>
      </c>
      <c r="Q203" t="s">
        <v>99</v>
      </c>
      <c r="R203" t="s">
        <v>99</v>
      </c>
      <c r="S203" t="s">
        <v>99</v>
      </c>
      <c r="T203" t="s">
        <v>104</v>
      </c>
      <c r="U203" t="s">
        <v>105</v>
      </c>
      <c r="V203" t="s">
        <v>99</v>
      </c>
      <c r="W203" t="s">
        <v>99</v>
      </c>
      <c r="X203" t="s">
        <v>633</v>
      </c>
      <c r="Y203" t="s">
        <v>99</v>
      </c>
      <c r="Z203" t="s">
        <v>99</v>
      </c>
    </row>
    <row r="204" spans="1:26">
      <c r="A204" t="s">
        <v>4933</v>
      </c>
      <c r="B204" t="s">
        <v>94</v>
      </c>
      <c r="C204">
        <v>2009</v>
      </c>
      <c r="D204" t="s">
        <v>609</v>
      </c>
      <c r="E204" t="s">
        <v>610</v>
      </c>
      <c r="F204" t="s">
        <v>611</v>
      </c>
      <c r="G204" t="s">
        <v>612</v>
      </c>
      <c r="H204" t="s">
        <v>99</v>
      </c>
      <c r="I204" t="s">
        <v>613</v>
      </c>
      <c r="J204" t="s">
        <v>614</v>
      </c>
      <c r="K204" t="s">
        <v>615</v>
      </c>
      <c r="L204" s="13">
        <v>44887.363807870373</v>
      </c>
      <c r="M204" s="13">
        <v>44887.363807870373</v>
      </c>
      <c r="N204" s="13"/>
      <c r="O204" t="s">
        <v>616</v>
      </c>
      <c r="P204" t="s">
        <v>99</v>
      </c>
      <c r="Q204" t="s">
        <v>99</v>
      </c>
      <c r="R204" t="s">
        <v>99</v>
      </c>
      <c r="S204" t="s">
        <v>99</v>
      </c>
      <c r="T204" t="s">
        <v>104</v>
      </c>
      <c r="U204" t="s">
        <v>105</v>
      </c>
      <c r="V204" t="s">
        <v>99</v>
      </c>
      <c r="W204" t="s">
        <v>99</v>
      </c>
      <c r="X204" t="s">
        <v>617</v>
      </c>
      <c r="Y204" t="s">
        <v>99</v>
      </c>
      <c r="Z204" t="s">
        <v>99</v>
      </c>
    </row>
    <row r="205" spans="1:26">
      <c r="A205" t="s">
        <v>4934</v>
      </c>
      <c r="B205" t="s">
        <v>94</v>
      </c>
      <c r="C205">
        <v>2020</v>
      </c>
      <c r="D205" t="s">
        <v>602</v>
      </c>
      <c r="E205" t="s">
        <v>603</v>
      </c>
      <c r="F205" t="s">
        <v>604</v>
      </c>
      <c r="G205" t="s">
        <v>605</v>
      </c>
      <c r="H205" t="s">
        <v>99</v>
      </c>
      <c r="I205" t="s">
        <v>606</v>
      </c>
      <c r="J205" t="s">
        <v>607</v>
      </c>
      <c r="K205" t="s">
        <v>176</v>
      </c>
      <c r="L205" s="13">
        <v>44887.363807870373</v>
      </c>
      <c r="M205" s="13">
        <v>44887.363807870373</v>
      </c>
      <c r="N205" s="13"/>
      <c r="O205" t="s">
        <v>608</v>
      </c>
      <c r="P205" t="s">
        <v>99</v>
      </c>
      <c r="Q205" t="s">
        <v>99</v>
      </c>
      <c r="R205" t="s">
        <v>99</v>
      </c>
      <c r="S205" t="s">
        <v>99</v>
      </c>
      <c r="T205" t="s">
        <v>104</v>
      </c>
      <c r="U205" t="s">
        <v>105</v>
      </c>
      <c r="V205" t="s">
        <v>99</v>
      </c>
      <c r="W205" t="s">
        <v>99</v>
      </c>
      <c r="X205" t="s">
        <v>308</v>
      </c>
      <c r="Y205" t="s">
        <v>99</v>
      </c>
      <c r="Z205" t="s">
        <v>99</v>
      </c>
    </row>
    <row r="206" spans="1:26">
      <c r="A206" t="s">
        <v>4935</v>
      </c>
      <c r="B206" t="s">
        <v>94</v>
      </c>
      <c r="C206">
        <v>2010</v>
      </c>
      <c r="D206" t="s">
        <v>595</v>
      </c>
      <c r="E206" t="s">
        <v>596</v>
      </c>
      <c r="F206" t="s">
        <v>597</v>
      </c>
      <c r="G206" t="s">
        <v>598</v>
      </c>
      <c r="H206" t="s">
        <v>99</v>
      </c>
      <c r="I206" t="s">
        <v>599</v>
      </c>
      <c r="J206" t="s">
        <v>600</v>
      </c>
      <c r="K206" t="s">
        <v>130</v>
      </c>
      <c r="L206" s="13">
        <v>44887.363807870373</v>
      </c>
      <c r="M206" s="13">
        <v>44887.363807870373</v>
      </c>
      <c r="N206" s="13"/>
      <c r="O206" t="s">
        <v>601</v>
      </c>
      <c r="P206" t="s">
        <v>99</v>
      </c>
      <c r="Q206" t="s">
        <v>99</v>
      </c>
      <c r="R206" t="s">
        <v>99</v>
      </c>
      <c r="S206" t="s">
        <v>99</v>
      </c>
      <c r="T206" t="s">
        <v>104</v>
      </c>
      <c r="U206" t="s">
        <v>105</v>
      </c>
      <c r="V206" t="s">
        <v>99</v>
      </c>
      <c r="W206" t="s">
        <v>99</v>
      </c>
      <c r="X206" t="s">
        <v>467</v>
      </c>
      <c r="Y206" t="s">
        <v>99</v>
      </c>
      <c r="Z206" t="s">
        <v>99</v>
      </c>
    </row>
    <row r="207" spans="1:26">
      <c r="A207" t="s">
        <v>4936</v>
      </c>
      <c r="B207" t="s">
        <v>94</v>
      </c>
      <c r="C207">
        <v>2018</v>
      </c>
      <c r="D207" t="s">
        <v>588</v>
      </c>
      <c r="E207" t="s">
        <v>589</v>
      </c>
      <c r="F207" t="s">
        <v>590</v>
      </c>
      <c r="G207" t="s">
        <v>99</v>
      </c>
      <c r="H207" t="s">
        <v>99</v>
      </c>
      <c r="I207" t="s">
        <v>99</v>
      </c>
      <c r="J207" t="s">
        <v>99</v>
      </c>
      <c r="K207" t="s">
        <v>384</v>
      </c>
      <c r="L207" s="13">
        <v>44887.363807870373</v>
      </c>
      <c r="M207" s="13">
        <v>44887.363807870373</v>
      </c>
      <c r="N207" s="13"/>
      <c r="O207" t="s">
        <v>591</v>
      </c>
      <c r="P207" t="s">
        <v>99</v>
      </c>
      <c r="Q207" t="s">
        <v>99</v>
      </c>
      <c r="R207" t="s">
        <v>99</v>
      </c>
      <c r="S207" t="s">
        <v>99</v>
      </c>
      <c r="T207" t="s">
        <v>592</v>
      </c>
      <c r="U207" t="s">
        <v>593</v>
      </c>
      <c r="V207" t="s">
        <v>99</v>
      </c>
      <c r="W207" t="s">
        <v>99</v>
      </c>
      <c r="X207" t="s">
        <v>594</v>
      </c>
      <c r="Y207" t="s">
        <v>99</v>
      </c>
      <c r="Z207" t="s">
        <v>99</v>
      </c>
    </row>
    <row r="208" spans="1:26">
      <c r="A208" t="s">
        <v>4937</v>
      </c>
      <c r="B208" t="s">
        <v>94</v>
      </c>
      <c r="C208">
        <v>2021</v>
      </c>
      <c r="D208" t="s">
        <v>580</v>
      </c>
      <c r="E208" t="s">
        <v>581</v>
      </c>
      <c r="F208" t="s">
        <v>582</v>
      </c>
      <c r="G208" t="s">
        <v>583</v>
      </c>
      <c r="H208" t="s">
        <v>99</v>
      </c>
      <c r="I208" t="s">
        <v>584</v>
      </c>
      <c r="J208" t="s">
        <v>585</v>
      </c>
      <c r="K208" t="s">
        <v>113</v>
      </c>
      <c r="L208" s="13">
        <v>44887.363807870373</v>
      </c>
      <c r="M208" s="13">
        <v>44887.363807870373</v>
      </c>
      <c r="N208" s="13"/>
      <c r="O208" t="s">
        <v>586</v>
      </c>
      <c r="P208" t="s">
        <v>99</v>
      </c>
      <c r="Q208" t="s">
        <v>99</v>
      </c>
      <c r="R208" t="s">
        <v>99</v>
      </c>
      <c r="S208" t="s">
        <v>99</v>
      </c>
      <c r="T208" t="s">
        <v>104</v>
      </c>
      <c r="U208" t="s">
        <v>105</v>
      </c>
      <c r="V208" t="s">
        <v>99</v>
      </c>
      <c r="W208" t="s">
        <v>99</v>
      </c>
      <c r="X208" t="s">
        <v>587</v>
      </c>
      <c r="Y208" t="s">
        <v>99</v>
      </c>
      <c r="Z208" t="s">
        <v>99</v>
      </c>
    </row>
    <row r="209" spans="1:26">
      <c r="A209" t="s">
        <v>4938</v>
      </c>
      <c r="B209" t="s">
        <v>94</v>
      </c>
      <c r="C209">
        <v>2012</v>
      </c>
      <c r="D209" t="s">
        <v>572</v>
      </c>
      <c r="E209" t="s">
        <v>573</v>
      </c>
      <c r="F209" t="s">
        <v>574</v>
      </c>
      <c r="G209" t="s">
        <v>575</v>
      </c>
      <c r="H209" t="s">
        <v>99</v>
      </c>
      <c r="I209" t="s">
        <v>576</v>
      </c>
      <c r="J209" t="s">
        <v>577</v>
      </c>
      <c r="K209" t="s">
        <v>351</v>
      </c>
      <c r="L209" s="13">
        <v>44887.363807870373</v>
      </c>
      <c r="M209" s="13">
        <v>44887.363807870373</v>
      </c>
      <c r="N209" s="13"/>
      <c r="O209" t="s">
        <v>578</v>
      </c>
      <c r="P209" t="s">
        <v>99</v>
      </c>
      <c r="Q209" t="s">
        <v>99</v>
      </c>
      <c r="R209" t="s">
        <v>99</v>
      </c>
      <c r="S209" t="s">
        <v>99</v>
      </c>
      <c r="T209" t="s">
        <v>104</v>
      </c>
      <c r="U209" t="s">
        <v>105</v>
      </c>
      <c r="V209" t="s">
        <v>99</v>
      </c>
      <c r="W209" t="s">
        <v>99</v>
      </c>
      <c r="X209" t="s">
        <v>579</v>
      </c>
      <c r="Y209" t="s">
        <v>99</v>
      </c>
      <c r="Z209" t="s">
        <v>99</v>
      </c>
    </row>
    <row r="210" spans="1:26">
      <c r="A210" t="s">
        <v>4939</v>
      </c>
      <c r="B210" t="s">
        <v>94</v>
      </c>
      <c r="C210">
        <v>2006</v>
      </c>
      <c r="D210" t="s">
        <v>566</v>
      </c>
      <c r="E210" t="s">
        <v>567</v>
      </c>
      <c r="F210" t="s">
        <v>568</v>
      </c>
      <c r="G210" t="s">
        <v>569</v>
      </c>
      <c r="H210" t="s">
        <v>99</v>
      </c>
      <c r="I210" t="s">
        <v>99</v>
      </c>
      <c r="J210" t="s">
        <v>99</v>
      </c>
      <c r="K210" t="s">
        <v>279</v>
      </c>
      <c r="L210" s="13">
        <v>44887.363807870373</v>
      </c>
      <c r="M210" s="13">
        <v>44887.363807870373</v>
      </c>
      <c r="N210" s="13"/>
      <c r="O210" t="s">
        <v>570</v>
      </c>
      <c r="P210" t="s">
        <v>99</v>
      </c>
      <c r="Q210" t="s">
        <v>99</v>
      </c>
      <c r="R210" t="s">
        <v>99</v>
      </c>
      <c r="S210" t="s">
        <v>99</v>
      </c>
      <c r="T210" t="s">
        <v>132</v>
      </c>
      <c r="U210" t="s">
        <v>133</v>
      </c>
      <c r="V210" t="s">
        <v>99</v>
      </c>
      <c r="W210" t="s">
        <v>99</v>
      </c>
      <c r="X210" t="s">
        <v>571</v>
      </c>
      <c r="Y210" t="s">
        <v>99</v>
      </c>
      <c r="Z210" t="s">
        <v>99</v>
      </c>
    </row>
    <row r="211" spans="1:26">
      <c r="A211" t="s">
        <v>4940</v>
      </c>
      <c r="B211" t="s">
        <v>94</v>
      </c>
      <c r="C211">
        <v>2015</v>
      </c>
      <c r="D211" t="s">
        <v>558</v>
      </c>
      <c r="E211" t="s">
        <v>559</v>
      </c>
      <c r="F211" t="s">
        <v>560</v>
      </c>
      <c r="G211" t="s">
        <v>561</v>
      </c>
      <c r="H211" t="s">
        <v>99</v>
      </c>
      <c r="I211" t="s">
        <v>562</v>
      </c>
      <c r="J211" t="s">
        <v>563</v>
      </c>
      <c r="K211" t="s">
        <v>564</v>
      </c>
      <c r="L211" s="13">
        <v>44887.363807870373</v>
      </c>
      <c r="M211" s="13">
        <v>44887.363807870373</v>
      </c>
      <c r="N211" s="13"/>
      <c r="O211" t="s">
        <v>99</v>
      </c>
      <c r="P211" t="s">
        <v>99</v>
      </c>
      <c r="Q211" t="s">
        <v>99</v>
      </c>
      <c r="R211" t="s">
        <v>99</v>
      </c>
      <c r="S211" t="s">
        <v>99</v>
      </c>
      <c r="T211" t="s">
        <v>104</v>
      </c>
      <c r="U211" t="s">
        <v>105</v>
      </c>
      <c r="V211" t="s">
        <v>99</v>
      </c>
      <c r="W211" t="s">
        <v>99</v>
      </c>
      <c r="X211" t="s">
        <v>565</v>
      </c>
      <c r="Y211" t="s">
        <v>99</v>
      </c>
      <c r="Z211" t="s">
        <v>99</v>
      </c>
    </row>
    <row r="212" spans="1:26">
      <c r="A212" t="s">
        <v>4941</v>
      </c>
      <c r="B212" t="s">
        <v>135</v>
      </c>
      <c r="C212">
        <v>2006</v>
      </c>
      <c r="D212" t="s">
        <v>550</v>
      </c>
      <c r="E212" t="s">
        <v>551</v>
      </c>
      <c r="F212" t="s">
        <v>4942</v>
      </c>
      <c r="G212" t="s">
        <v>99</v>
      </c>
      <c r="H212" t="s">
        <v>4943</v>
      </c>
      <c r="I212" t="s">
        <v>4944</v>
      </c>
      <c r="J212" t="s">
        <v>4945</v>
      </c>
      <c r="K212" t="s">
        <v>4946</v>
      </c>
      <c r="L212" s="13">
        <v>44887.363807870373</v>
      </c>
      <c r="M212" s="13">
        <v>44887.363807870373</v>
      </c>
      <c r="N212" s="13"/>
      <c r="O212" t="s">
        <v>556</v>
      </c>
      <c r="P212" t="s">
        <v>557</v>
      </c>
      <c r="Q212" t="s">
        <v>4947</v>
      </c>
      <c r="R212" t="s">
        <v>99</v>
      </c>
      <c r="S212" t="s">
        <v>99</v>
      </c>
      <c r="T212" t="s">
        <v>99</v>
      </c>
      <c r="U212" t="s">
        <v>99</v>
      </c>
      <c r="V212" t="s">
        <v>99</v>
      </c>
      <c r="W212" t="s">
        <v>99</v>
      </c>
      <c r="X212" t="s">
        <v>289</v>
      </c>
      <c r="Y212" t="s">
        <v>99</v>
      </c>
      <c r="Z212" t="s">
        <v>99</v>
      </c>
    </row>
    <row r="213" spans="1:26">
      <c r="A213" t="s">
        <v>4948</v>
      </c>
      <c r="B213" t="s">
        <v>135</v>
      </c>
      <c r="C213">
        <v>2018</v>
      </c>
      <c r="D213" t="s">
        <v>480</v>
      </c>
      <c r="E213" t="s">
        <v>481</v>
      </c>
      <c r="F213" t="s">
        <v>4942</v>
      </c>
      <c r="G213" t="s">
        <v>99</v>
      </c>
      <c r="H213" t="s">
        <v>4943</v>
      </c>
      <c r="I213" t="s">
        <v>4949</v>
      </c>
      <c r="J213" t="s">
        <v>4950</v>
      </c>
      <c r="K213" t="s">
        <v>4951</v>
      </c>
      <c r="L213" s="13">
        <v>44887.363807870373</v>
      </c>
      <c r="M213" s="13">
        <v>44887.363807870373</v>
      </c>
      <c r="N213" s="13"/>
      <c r="O213" t="s">
        <v>486</v>
      </c>
      <c r="P213" t="s">
        <v>363</v>
      </c>
      <c r="Q213" t="s">
        <v>4952</v>
      </c>
      <c r="R213" t="s">
        <v>99</v>
      </c>
      <c r="S213" t="s">
        <v>99</v>
      </c>
      <c r="T213" t="s">
        <v>99</v>
      </c>
      <c r="U213" t="s">
        <v>99</v>
      </c>
      <c r="V213" t="s">
        <v>99</v>
      </c>
      <c r="W213" t="s">
        <v>99</v>
      </c>
      <c r="X213" t="s">
        <v>289</v>
      </c>
      <c r="Y213" t="s">
        <v>99</v>
      </c>
      <c r="Z213" t="s">
        <v>99</v>
      </c>
    </row>
    <row r="214" spans="1:26">
      <c r="A214" t="s">
        <v>4953</v>
      </c>
      <c r="B214" t="s">
        <v>135</v>
      </c>
      <c r="C214">
        <v>2014</v>
      </c>
      <c r="D214" t="s">
        <v>394</v>
      </c>
      <c r="E214" t="s">
        <v>395</v>
      </c>
      <c r="F214" t="s">
        <v>4942</v>
      </c>
      <c r="G214" t="s">
        <v>99</v>
      </c>
      <c r="H214" t="s">
        <v>4943</v>
      </c>
      <c r="I214" t="s">
        <v>4954</v>
      </c>
      <c r="J214" t="s">
        <v>4955</v>
      </c>
      <c r="K214" t="s">
        <v>4956</v>
      </c>
      <c r="L214" s="13">
        <v>44887.363807870373</v>
      </c>
      <c r="M214" s="13">
        <v>44887.363807870373</v>
      </c>
      <c r="N214" s="13"/>
      <c r="O214" t="s">
        <v>401</v>
      </c>
      <c r="P214" t="s">
        <v>402</v>
      </c>
      <c r="Q214" t="s">
        <v>4957</v>
      </c>
      <c r="R214" t="s">
        <v>99</v>
      </c>
      <c r="S214" t="s">
        <v>99</v>
      </c>
      <c r="T214" t="s">
        <v>99</v>
      </c>
      <c r="U214" t="s">
        <v>99</v>
      </c>
      <c r="V214" t="s">
        <v>99</v>
      </c>
      <c r="W214" t="s">
        <v>99</v>
      </c>
      <c r="X214" t="s">
        <v>289</v>
      </c>
      <c r="Y214" t="s">
        <v>99</v>
      </c>
      <c r="Z214" t="s">
        <v>99</v>
      </c>
    </row>
    <row r="215" spans="1:26">
      <c r="A215" t="s">
        <v>4958</v>
      </c>
      <c r="B215" t="s">
        <v>135</v>
      </c>
      <c r="C215">
        <v>2012</v>
      </c>
      <c r="D215" t="s">
        <v>345</v>
      </c>
      <c r="E215" t="s">
        <v>346</v>
      </c>
      <c r="F215" t="s">
        <v>4942</v>
      </c>
      <c r="G215" t="s">
        <v>99</v>
      </c>
      <c r="H215" t="s">
        <v>4943</v>
      </c>
      <c r="I215" t="s">
        <v>4959</v>
      </c>
      <c r="J215" t="s">
        <v>4960</v>
      </c>
      <c r="K215" t="s">
        <v>4961</v>
      </c>
      <c r="L215" s="13">
        <v>44887.363807870373</v>
      </c>
      <c r="M215" s="13">
        <v>44887.363807870373</v>
      </c>
      <c r="N215" s="13"/>
      <c r="O215" t="s">
        <v>352</v>
      </c>
      <c r="P215" t="s">
        <v>288</v>
      </c>
      <c r="Q215" t="s">
        <v>4493</v>
      </c>
      <c r="R215" t="s">
        <v>99</v>
      </c>
      <c r="S215" t="s">
        <v>99</v>
      </c>
      <c r="T215" t="s">
        <v>99</v>
      </c>
      <c r="U215" t="s">
        <v>99</v>
      </c>
      <c r="V215" t="s">
        <v>99</v>
      </c>
      <c r="W215" t="s">
        <v>99</v>
      </c>
      <c r="X215" t="s">
        <v>289</v>
      </c>
      <c r="Y215" t="s">
        <v>99</v>
      </c>
      <c r="Z215" t="s">
        <v>99</v>
      </c>
    </row>
    <row r="216" spans="1:26">
      <c r="A216" t="s">
        <v>4962</v>
      </c>
      <c r="B216" t="s">
        <v>222</v>
      </c>
      <c r="C216">
        <v>2021</v>
      </c>
      <c r="D216" t="s">
        <v>99</v>
      </c>
      <c r="E216" t="s">
        <v>223</v>
      </c>
      <c r="F216" t="s">
        <v>224</v>
      </c>
      <c r="G216" t="s">
        <v>225</v>
      </c>
      <c r="H216" t="s">
        <v>99</v>
      </c>
      <c r="I216" t="s">
        <v>99</v>
      </c>
      <c r="J216" t="s">
        <v>226</v>
      </c>
      <c r="K216" t="s">
        <v>113</v>
      </c>
      <c r="L216" s="13">
        <v>44887.363807870373</v>
      </c>
      <c r="M216" s="13">
        <v>44887.363807870373</v>
      </c>
      <c r="N216" s="13"/>
      <c r="O216" t="s">
        <v>227</v>
      </c>
      <c r="P216" t="s">
        <v>99</v>
      </c>
      <c r="Q216" t="s">
        <v>99</v>
      </c>
      <c r="R216" t="s">
        <v>99</v>
      </c>
      <c r="S216" t="s">
        <v>99</v>
      </c>
      <c r="T216" t="s">
        <v>104</v>
      </c>
      <c r="U216" t="s">
        <v>105</v>
      </c>
      <c r="V216" t="s">
        <v>99</v>
      </c>
      <c r="W216" t="s">
        <v>99</v>
      </c>
      <c r="X216" t="s">
        <v>99</v>
      </c>
      <c r="Y216" t="s">
        <v>99</v>
      </c>
      <c r="Z216" t="s">
        <v>99</v>
      </c>
    </row>
    <row r="217" spans="1:26">
      <c r="A217" t="s">
        <v>4963</v>
      </c>
      <c r="B217" t="s">
        <v>94</v>
      </c>
      <c r="C217">
        <v>2013</v>
      </c>
      <c r="D217" t="s">
        <v>195</v>
      </c>
      <c r="E217" t="s">
        <v>196</v>
      </c>
      <c r="F217" t="s">
        <v>197</v>
      </c>
      <c r="G217" t="s">
        <v>198</v>
      </c>
      <c r="H217" t="s">
        <v>99</v>
      </c>
      <c r="I217" t="s">
        <v>99</v>
      </c>
      <c r="J217" t="s">
        <v>99</v>
      </c>
      <c r="K217" t="s">
        <v>139</v>
      </c>
      <c r="L217" s="13">
        <v>44887.363807870373</v>
      </c>
      <c r="M217" s="13">
        <v>44887.363807870373</v>
      </c>
      <c r="N217" s="13"/>
      <c r="O217" t="s">
        <v>199</v>
      </c>
      <c r="P217" t="s">
        <v>99</v>
      </c>
      <c r="Q217" t="s">
        <v>99</v>
      </c>
      <c r="R217" t="s">
        <v>99</v>
      </c>
      <c r="S217" t="s">
        <v>99</v>
      </c>
      <c r="T217" t="s">
        <v>115</v>
      </c>
      <c r="U217" t="s">
        <v>99</v>
      </c>
      <c r="V217" t="s">
        <v>99</v>
      </c>
      <c r="W217" t="s">
        <v>99</v>
      </c>
      <c r="X217" t="s">
        <v>200</v>
      </c>
      <c r="Y217" t="s">
        <v>99</v>
      </c>
      <c r="Z217" t="s">
        <v>99</v>
      </c>
    </row>
    <row r="218" spans="1:26">
      <c r="A218" t="s">
        <v>4964</v>
      </c>
      <c r="B218" t="s">
        <v>94</v>
      </c>
      <c r="C218">
        <v>2003</v>
      </c>
      <c r="D218" t="s">
        <v>178</v>
      </c>
      <c r="E218" t="s">
        <v>179</v>
      </c>
      <c r="F218" t="s">
        <v>180</v>
      </c>
      <c r="G218" t="s">
        <v>99</v>
      </c>
      <c r="H218" t="s">
        <v>99</v>
      </c>
      <c r="I218" t="s">
        <v>99</v>
      </c>
      <c r="J218" t="s">
        <v>99</v>
      </c>
      <c r="K218" t="s">
        <v>181</v>
      </c>
      <c r="L218" s="13">
        <v>44887.363807870373</v>
      </c>
      <c r="M218" s="13">
        <v>44887.363807870373</v>
      </c>
      <c r="N218" s="13"/>
      <c r="O218" t="s">
        <v>182</v>
      </c>
      <c r="P218" t="s">
        <v>99</v>
      </c>
      <c r="Q218" t="s">
        <v>99</v>
      </c>
      <c r="R218" t="s">
        <v>99</v>
      </c>
      <c r="S218" t="s">
        <v>99</v>
      </c>
      <c r="T218" t="s">
        <v>183</v>
      </c>
      <c r="U218" t="s">
        <v>99</v>
      </c>
      <c r="V218" t="s">
        <v>99</v>
      </c>
      <c r="W218" t="s">
        <v>99</v>
      </c>
      <c r="X218" t="s">
        <v>184</v>
      </c>
      <c r="Y218" t="s">
        <v>99</v>
      </c>
      <c r="Z218" t="s">
        <v>99</v>
      </c>
    </row>
    <row r="219" spans="1:26">
      <c r="A219" t="s">
        <v>4965</v>
      </c>
      <c r="B219" t="s">
        <v>94</v>
      </c>
      <c r="C219">
        <v>2017</v>
      </c>
      <c r="D219" t="s">
        <v>150</v>
      </c>
      <c r="E219" t="s">
        <v>151</v>
      </c>
      <c r="F219" t="s">
        <v>152</v>
      </c>
      <c r="G219" t="s">
        <v>153</v>
      </c>
      <c r="H219" t="s">
        <v>99</v>
      </c>
      <c r="I219" t="s">
        <v>154</v>
      </c>
      <c r="J219" t="s">
        <v>155</v>
      </c>
      <c r="K219" t="s">
        <v>156</v>
      </c>
      <c r="L219" s="13">
        <v>44887.363807870373</v>
      </c>
      <c r="M219" s="13">
        <v>44887.363807870373</v>
      </c>
      <c r="N219" s="13"/>
      <c r="O219" t="s">
        <v>157</v>
      </c>
      <c r="P219" t="s">
        <v>99</v>
      </c>
      <c r="Q219" t="s">
        <v>99</v>
      </c>
      <c r="R219" t="s">
        <v>99</v>
      </c>
      <c r="S219" t="s">
        <v>99</v>
      </c>
      <c r="T219" t="s">
        <v>104</v>
      </c>
      <c r="U219" t="s">
        <v>105</v>
      </c>
      <c r="V219" t="s">
        <v>99</v>
      </c>
      <c r="W219" t="s">
        <v>99</v>
      </c>
      <c r="X219" t="s">
        <v>158</v>
      </c>
      <c r="Y219" t="s">
        <v>99</v>
      </c>
      <c r="Z219" t="s">
        <v>99</v>
      </c>
    </row>
    <row r="220" spans="1:26">
      <c r="A220" t="s">
        <v>4966</v>
      </c>
      <c r="B220" t="s">
        <v>94</v>
      </c>
      <c r="C220">
        <v>2010</v>
      </c>
      <c r="D220" t="s">
        <v>126</v>
      </c>
      <c r="E220" t="s">
        <v>127</v>
      </c>
      <c r="F220" t="s">
        <v>128</v>
      </c>
      <c r="G220" t="s">
        <v>129</v>
      </c>
      <c r="H220" t="s">
        <v>99</v>
      </c>
      <c r="I220" t="s">
        <v>99</v>
      </c>
      <c r="J220" t="s">
        <v>99</v>
      </c>
      <c r="K220" t="s">
        <v>130</v>
      </c>
      <c r="L220" s="13">
        <v>44887.363807870373</v>
      </c>
      <c r="M220" s="13">
        <v>44887.363807870373</v>
      </c>
      <c r="N220" s="13"/>
      <c r="O220" t="s">
        <v>131</v>
      </c>
      <c r="P220" t="s">
        <v>99</v>
      </c>
      <c r="Q220" t="s">
        <v>99</v>
      </c>
      <c r="R220" t="s">
        <v>99</v>
      </c>
      <c r="S220" t="s">
        <v>99</v>
      </c>
      <c r="T220" t="s">
        <v>132</v>
      </c>
      <c r="U220" t="s">
        <v>133</v>
      </c>
      <c r="V220" t="s">
        <v>99</v>
      </c>
      <c r="W220" t="s">
        <v>99</v>
      </c>
      <c r="X220" t="s">
        <v>134</v>
      </c>
      <c r="Y220" t="s">
        <v>99</v>
      </c>
      <c r="Z220" t="s">
        <v>99</v>
      </c>
    </row>
    <row r="221" spans="1:26">
      <c r="A221" t="s">
        <v>4967</v>
      </c>
      <c r="B221" t="s">
        <v>94</v>
      </c>
      <c r="C221">
        <v>2020</v>
      </c>
      <c r="D221" t="s">
        <v>170</v>
      </c>
      <c r="E221" t="s">
        <v>171</v>
      </c>
      <c r="F221" t="s">
        <v>172</v>
      </c>
      <c r="G221" t="s">
        <v>173</v>
      </c>
      <c r="H221" t="s">
        <v>99</v>
      </c>
      <c r="I221" t="s">
        <v>174</v>
      </c>
      <c r="J221" t="s">
        <v>175</v>
      </c>
      <c r="K221" t="s">
        <v>176</v>
      </c>
      <c r="L221" s="13">
        <v>44887.363807870373</v>
      </c>
      <c r="M221" s="13">
        <v>44887.363807870373</v>
      </c>
      <c r="N221" s="13"/>
      <c r="O221" t="s">
        <v>99</v>
      </c>
      <c r="P221" t="s">
        <v>99</v>
      </c>
      <c r="Q221" t="s">
        <v>99</v>
      </c>
      <c r="R221" t="s">
        <v>99</v>
      </c>
      <c r="S221" t="s">
        <v>99</v>
      </c>
      <c r="T221" t="s">
        <v>104</v>
      </c>
      <c r="U221" t="s">
        <v>105</v>
      </c>
      <c r="V221" t="s">
        <v>99</v>
      </c>
      <c r="W221" t="s">
        <v>99</v>
      </c>
      <c r="X221" t="s">
        <v>177</v>
      </c>
      <c r="Y221" t="s">
        <v>99</v>
      </c>
      <c r="Z221" t="s">
        <v>99</v>
      </c>
    </row>
    <row r="222" spans="1:26">
      <c r="A222" t="s">
        <v>4968</v>
      </c>
      <c r="B222" t="s">
        <v>94</v>
      </c>
      <c r="C222">
        <v>1995</v>
      </c>
      <c r="D222" t="s">
        <v>159</v>
      </c>
      <c r="E222" t="s">
        <v>160</v>
      </c>
      <c r="F222" t="s">
        <v>161</v>
      </c>
      <c r="G222" t="s">
        <v>162</v>
      </c>
      <c r="H222" t="s">
        <v>99</v>
      </c>
      <c r="I222" t="s">
        <v>163</v>
      </c>
      <c r="J222" t="s">
        <v>164</v>
      </c>
      <c r="K222" t="s">
        <v>165</v>
      </c>
      <c r="L222" s="13">
        <v>44887.363807870373</v>
      </c>
      <c r="M222" s="13">
        <v>44887.363807870373</v>
      </c>
      <c r="N222" s="13"/>
      <c r="O222" t="s">
        <v>166</v>
      </c>
      <c r="P222" t="s">
        <v>99</v>
      </c>
      <c r="Q222" t="s">
        <v>99</v>
      </c>
      <c r="R222" t="s">
        <v>99</v>
      </c>
      <c r="S222" t="s">
        <v>99</v>
      </c>
      <c r="T222" t="s">
        <v>167</v>
      </c>
      <c r="U222" t="s">
        <v>168</v>
      </c>
      <c r="V222" t="s">
        <v>99</v>
      </c>
      <c r="W222" t="s">
        <v>99</v>
      </c>
      <c r="X222" t="s">
        <v>169</v>
      </c>
      <c r="Y222" t="s">
        <v>99</v>
      </c>
      <c r="Z222" t="s">
        <v>99</v>
      </c>
    </row>
    <row r="223" spans="1:26">
      <c r="A223" t="s">
        <v>4969</v>
      </c>
      <c r="B223" t="s">
        <v>94</v>
      </c>
      <c r="C223">
        <v>2010</v>
      </c>
      <c r="D223" t="s">
        <v>142</v>
      </c>
      <c r="E223" t="s">
        <v>143</v>
      </c>
      <c r="F223" t="s">
        <v>144</v>
      </c>
      <c r="G223" t="s">
        <v>145</v>
      </c>
      <c r="H223" t="s">
        <v>99</v>
      </c>
      <c r="I223" t="s">
        <v>146</v>
      </c>
      <c r="J223" t="s">
        <v>147</v>
      </c>
      <c r="K223" t="s">
        <v>130</v>
      </c>
      <c r="L223" s="13">
        <v>44887.363807870373</v>
      </c>
      <c r="M223" s="13">
        <v>44887.363807870373</v>
      </c>
      <c r="N223" s="13"/>
      <c r="O223" t="s">
        <v>148</v>
      </c>
      <c r="P223" t="s">
        <v>99</v>
      </c>
      <c r="Q223" t="s">
        <v>99</v>
      </c>
      <c r="R223" t="s">
        <v>99</v>
      </c>
      <c r="S223" t="s">
        <v>99</v>
      </c>
      <c r="T223" t="s">
        <v>104</v>
      </c>
      <c r="U223" t="s">
        <v>105</v>
      </c>
      <c r="V223" t="s">
        <v>99</v>
      </c>
      <c r="W223" t="s">
        <v>99</v>
      </c>
      <c r="X223" t="s">
        <v>149</v>
      </c>
      <c r="Y223" t="s">
        <v>99</v>
      </c>
      <c r="Z223" t="s">
        <v>99</v>
      </c>
    </row>
    <row r="224" spans="1:26">
      <c r="A224" t="s">
        <v>4970</v>
      </c>
      <c r="B224" t="s">
        <v>135</v>
      </c>
      <c r="C224">
        <v>2022</v>
      </c>
      <c r="D224" t="s">
        <v>2274</v>
      </c>
      <c r="E224" t="s">
        <v>2275</v>
      </c>
      <c r="F224" t="s">
        <v>1265</v>
      </c>
      <c r="G224" t="s">
        <v>99</v>
      </c>
      <c r="H224" t="s">
        <v>1266</v>
      </c>
      <c r="I224" t="s">
        <v>2276</v>
      </c>
      <c r="J224" t="s">
        <v>2277</v>
      </c>
      <c r="K224" t="s">
        <v>2278</v>
      </c>
      <c r="L224" s="13">
        <v>44887.363807870373</v>
      </c>
      <c r="M224" s="13">
        <v>44887.363807870373</v>
      </c>
      <c r="N224" s="13">
        <v>44886.598101851851</v>
      </c>
      <c r="O224" t="s">
        <v>2279</v>
      </c>
      <c r="P224" t="s">
        <v>182</v>
      </c>
      <c r="Q224" t="s">
        <v>4512</v>
      </c>
      <c r="R224" t="s">
        <v>4513</v>
      </c>
      <c r="S224" t="s">
        <v>4971</v>
      </c>
      <c r="T224" t="s">
        <v>99</v>
      </c>
      <c r="U224" t="s">
        <v>99</v>
      </c>
      <c r="V224" t="s">
        <v>4495</v>
      </c>
      <c r="W224" t="s">
        <v>4496</v>
      </c>
      <c r="X224" t="s">
        <v>99</v>
      </c>
      <c r="Y224" t="s">
        <v>99</v>
      </c>
      <c r="Z224" t="s">
        <v>99</v>
      </c>
    </row>
    <row r="225" spans="1:26">
      <c r="A225" t="s">
        <v>4972</v>
      </c>
      <c r="B225" t="s">
        <v>222</v>
      </c>
      <c r="C225">
        <v>2006</v>
      </c>
      <c r="D225" t="s">
        <v>2243</v>
      </c>
      <c r="E225" t="s">
        <v>2244</v>
      </c>
      <c r="F225" t="s">
        <v>2245</v>
      </c>
      <c r="G225" t="s">
        <v>2246</v>
      </c>
      <c r="H225" t="s">
        <v>99</v>
      </c>
      <c r="I225" t="s">
        <v>99</v>
      </c>
      <c r="J225" t="s">
        <v>2247</v>
      </c>
      <c r="K225" t="s">
        <v>279</v>
      </c>
      <c r="L225" s="13">
        <v>44887.363807870373</v>
      </c>
      <c r="M225" s="13">
        <v>44887.363807870373</v>
      </c>
      <c r="N225" s="13">
        <v>44886.598136574074</v>
      </c>
      <c r="O225" t="s">
        <v>2248</v>
      </c>
      <c r="P225" t="s">
        <v>99</v>
      </c>
      <c r="Q225" t="s">
        <v>4973</v>
      </c>
      <c r="R225" t="s">
        <v>99</v>
      </c>
      <c r="S225" t="s">
        <v>3279</v>
      </c>
      <c r="T225" t="s">
        <v>1218</v>
      </c>
      <c r="U225" t="s">
        <v>133</v>
      </c>
      <c r="V225" t="s">
        <v>99</v>
      </c>
      <c r="W225" t="s">
        <v>4496</v>
      </c>
      <c r="X225" t="s">
        <v>2249</v>
      </c>
      <c r="Y225" t="s">
        <v>4974</v>
      </c>
      <c r="Z225" t="s">
        <v>4556</v>
      </c>
    </row>
    <row r="226" spans="1:26">
      <c r="A226" t="s">
        <v>4975</v>
      </c>
      <c r="B226" t="s">
        <v>222</v>
      </c>
      <c r="C226">
        <v>2020</v>
      </c>
      <c r="D226" t="s">
        <v>2267</v>
      </c>
      <c r="E226" t="s">
        <v>2268</v>
      </c>
      <c r="F226" t="s">
        <v>2269</v>
      </c>
      <c r="G226" t="s">
        <v>2270</v>
      </c>
      <c r="H226" t="s">
        <v>99</v>
      </c>
      <c r="I226" t="s">
        <v>99</v>
      </c>
      <c r="J226" t="s">
        <v>2271</v>
      </c>
      <c r="K226" t="s">
        <v>176</v>
      </c>
      <c r="L226" s="13">
        <v>44887.363807870373</v>
      </c>
      <c r="M226" s="13">
        <v>44887.363807870373</v>
      </c>
      <c r="N226" s="13">
        <v>44886.598113425927</v>
      </c>
      <c r="O226" t="s">
        <v>2272</v>
      </c>
      <c r="P226" t="s">
        <v>99</v>
      </c>
      <c r="Q226" t="s">
        <v>4976</v>
      </c>
      <c r="R226" t="s">
        <v>99</v>
      </c>
      <c r="S226" t="s">
        <v>4977</v>
      </c>
      <c r="T226" t="s">
        <v>1226</v>
      </c>
      <c r="U226" t="s">
        <v>1227</v>
      </c>
      <c r="V226" t="s">
        <v>4495</v>
      </c>
      <c r="W226" t="s">
        <v>4496</v>
      </c>
      <c r="X226" t="s">
        <v>2273</v>
      </c>
      <c r="Y226" t="s">
        <v>4978</v>
      </c>
      <c r="Z226" t="s">
        <v>99</v>
      </c>
    </row>
    <row r="227" spans="1:26">
      <c r="A227" t="s">
        <v>4979</v>
      </c>
      <c r="B227" t="s">
        <v>222</v>
      </c>
      <c r="C227">
        <v>2019</v>
      </c>
      <c r="D227" t="s">
        <v>2261</v>
      </c>
      <c r="E227" t="s">
        <v>2262</v>
      </c>
      <c r="F227" t="s">
        <v>1805</v>
      </c>
      <c r="G227" t="s">
        <v>2263</v>
      </c>
      <c r="H227" t="s">
        <v>99</v>
      </c>
      <c r="I227" t="s">
        <v>99</v>
      </c>
      <c r="J227" t="s">
        <v>2264</v>
      </c>
      <c r="K227" t="s">
        <v>271</v>
      </c>
      <c r="L227" s="13">
        <v>44887.363807870373</v>
      </c>
      <c r="M227" s="13">
        <v>44887.363807870373</v>
      </c>
      <c r="N227" s="13">
        <v>44886.598124999997</v>
      </c>
      <c r="O227" t="s">
        <v>2265</v>
      </c>
      <c r="P227" t="s">
        <v>99</v>
      </c>
      <c r="Q227" t="s">
        <v>4980</v>
      </c>
      <c r="R227" t="s">
        <v>99</v>
      </c>
      <c r="S227" t="s">
        <v>99</v>
      </c>
      <c r="T227" t="s">
        <v>1226</v>
      </c>
      <c r="U227" t="s">
        <v>1227</v>
      </c>
      <c r="V227" t="s">
        <v>4495</v>
      </c>
      <c r="W227" t="s">
        <v>4496</v>
      </c>
      <c r="X227" t="s">
        <v>2266</v>
      </c>
      <c r="Y227" t="s">
        <v>4981</v>
      </c>
      <c r="Z227" t="s">
        <v>99</v>
      </c>
    </row>
    <row r="228" spans="1:26">
      <c r="A228" t="s">
        <v>4982</v>
      </c>
      <c r="B228" t="s">
        <v>222</v>
      </c>
      <c r="C228">
        <v>2013</v>
      </c>
      <c r="D228" t="s">
        <v>1379</v>
      </c>
      <c r="E228" t="s">
        <v>2257</v>
      </c>
      <c r="F228" t="s">
        <v>1381</v>
      </c>
      <c r="G228" t="s">
        <v>1382</v>
      </c>
      <c r="H228" t="s">
        <v>99</v>
      </c>
      <c r="I228" t="s">
        <v>99</v>
      </c>
      <c r="J228" t="s">
        <v>2258</v>
      </c>
      <c r="K228" t="s">
        <v>139</v>
      </c>
      <c r="L228" s="13">
        <v>44887.363807870373</v>
      </c>
      <c r="M228" s="13">
        <v>44887.363807870373</v>
      </c>
      <c r="N228" s="13">
        <v>44886.598124999997</v>
      </c>
      <c r="O228" t="s">
        <v>2259</v>
      </c>
      <c r="P228" t="s">
        <v>99</v>
      </c>
      <c r="Q228" t="s">
        <v>99</v>
      </c>
      <c r="R228" t="s">
        <v>99</v>
      </c>
      <c r="S228" t="s">
        <v>99</v>
      </c>
      <c r="T228" t="s">
        <v>1385</v>
      </c>
      <c r="U228" t="s">
        <v>1386</v>
      </c>
      <c r="V228" t="s">
        <v>4723</v>
      </c>
      <c r="W228" t="s">
        <v>4496</v>
      </c>
      <c r="X228" t="s">
        <v>2260</v>
      </c>
      <c r="Y228" t="s">
        <v>99</v>
      </c>
      <c r="Z228" t="s">
        <v>99</v>
      </c>
    </row>
    <row r="229" spans="1:26">
      <c r="A229" t="s">
        <v>4983</v>
      </c>
      <c r="B229" t="s">
        <v>222</v>
      </c>
      <c r="C229">
        <v>2011</v>
      </c>
      <c r="D229" t="s">
        <v>2250</v>
      </c>
      <c r="E229" t="s">
        <v>2251</v>
      </c>
      <c r="F229" t="s">
        <v>2252</v>
      </c>
      <c r="G229" t="s">
        <v>2253</v>
      </c>
      <c r="H229" t="s">
        <v>99</v>
      </c>
      <c r="I229" t="s">
        <v>99</v>
      </c>
      <c r="J229" t="s">
        <v>2254</v>
      </c>
      <c r="K229" t="s">
        <v>102</v>
      </c>
      <c r="L229" s="13">
        <v>44887.363807870373</v>
      </c>
      <c r="M229" s="13">
        <v>44887.363807870373</v>
      </c>
      <c r="N229" s="13">
        <v>44886.598124999997</v>
      </c>
      <c r="O229" t="s">
        <v>2255</v>
      </c>
      <c r="P229" t="s">
        <v>99</v>
      </c>
      <c r="Q229" t="s">
        <v>4984</v>
      </c>
      <c r="R229" t="s">
        <v>99</v>
      </c>
      <c r="S229" t="s">
        <v>99</v>
      </c>
      <c r="T229" t="s">
        <v>1218</v>
      </c>
      <c r="U229" t="s">
        <v>133</v>
      </c>
      <c r="V229" t="s">
        <v>99</v>
      </c>
      <c r="W229" t="s">
        <v>4496</v>
      </c>
      <c r="X229" t="s">
        <v>2256</v>
      </c>
      <c r="Y229" t="s">
        <v>4985</v>
      </c>
      <c r="Z229" t="s">
        <v>99</v>
      </c>
    </row>
    <row r="230" spans="1:26">
      <c r="A230" t="s">
        <v>4986</v>
      </c>
      <c r="B230" t="s">
        <v>222</v>
      </c>
      <c r="C230">
        <v>2007</v>
      </c>
      <c r="D230" t="s">
        <v>2236</v>
      </c>
      <c r="E230" t="s">
        <v>2237</v>
      </c>
      <c r="F230" t="s">
        <v>2238</v>
      </c>
      <c r="G230" t="s">
        <v>2239</v>
      </c>
      <c r="H230" t="s">
        <v>99</v>
      </c>
      <c r="I230" t="s">
        <v>99</v>
      </c>
      <c r="J230" t="s">
        <v>2240</v>
      </c>
      <c r="K230" t="s">
        <v>666</v>
      </c>
      <c r="L230" s="13">
        <v>44887.363807870373</v>
      </c>
      <c r="M230" s="13">
        <v>44887.363807870373</v>
      </c>
      <c r="N230" s="13">
        <v>44886.598136574074</v>
      </c>
      <c r="O230" t="s">
        <v>2241</v>
      </c>
      <c r="P230" t="s">
        <v>99</v>
      </c>
      <c r="Q230" t="s">
        <v>4987</v>
      </c>
      <c r="R230" t="s">
        <v>99</v>
      </c>
      <c r="S230" t="s">
        <v>99</v>
      </c>
      <c r="T230" t="s">
        <v>1218</v>
      </c>
      <c r="U230" t="s">
        <v>133</v>
      </c>
      <c r="V230" t="s">
        <v>4495</v>
      </c>
      <c r="W230" t="s">
        <v>4496</v>
      </c>
      <c r="X230" t="s">
        <v>2242</v>
      </c>
      <c r="Y230" t="s">
        <v>4988</v>
      </c>
      <c r="Z230" t="s">
        <v>4568</v>
      </c>
    </row>
    <row r="231" spans="1:26">
      <c r="A231" t="s">
        <v>4989</v>
      </c>
      <c r="B231" t="s">
        <v>135</v>
      </c>
      <c r="C231">
        <v>2020</v>
      </c>
      <c r="D231" t="s">
        <v>2230</v>
      </c>
      <c r="E231" t="s">
        <v>2231</v>
      </c>
      <c r="F231" t="s">
        <v>1687</v>
      </c>
      <c r="G231" t="s">
        <v>99</v>
      </c>
      <c r="H231" t="s">
        <v>1688</v>
      </c>
      <c r="I231" t="s">
        <v>2232</v>
      </c>
      <c r="J231" t="s">
        <v>2233</v>
      </c>
      <c r="K231" t="s">
        <v>2234</v>
      </c>
      <c r="L231" s="13">
        <v>44887.363807870373</v>
      </c>
      <c r="M231" s="13">
        <v>44887.363807870373</v>
      </c>
      <c r="N231" s="13">
        <v>44886.59814814815</v>
      </c>
      <c r="O231" t="s">
        <v>2235</v>
      </c>
      <c r="P231" t="s">
        <v>1789</v>
      </c>
      <c r="Q231" t="s">
        <v>601</v>
      </c>
      <c r="R231" t="s">
        <v>4736</v>
      </c>
      <c r="S231" t="s">
        <v>99</v>
      </c>
      <c r="T231" t="s">
        <v>99</v>
      </c>
      <c r="U231" t="s">
        <v>99</v>
      </c>
      <c r="V231" t="s">
        <v>4495</v>
      </c>
      <c r="W231" t="s">
        <v>4496</v>
      </c>
      <c r="X231" t="s">
        <v>99</v>
      </c>
      <c r="Y231" t="s">
        <v>99</v>
      </c>
      <c r="Z231" t="s">
        <v>99</v>
      </c>
    </row>
    <row r="232" spans="1:26">
      <c r="A232" t="s">
        <v>4990</v>
      </c>
      <c r="B232" t="s">
        <v>135</v>
      </c>
      <c r="C232">
        <v>2021</v>
      </c>
      <c r="D232" t="s">
        <v>2209</v>
      </c>
      <c r="E232" t="s">
        <v>2210</v>
      </c>
      <c r="F232" t="s">
        <v>2211</v>
      </c>
      <c r="G232" t="s">
        <v>99</v>
      </c>
      <c r="H232" t="s">
        <v>2212</v>
      </c>
      <c r="I232" t="s">
        <v>2213</v>
      </c>
      <c r="J232" t="s">
        <v>2214</v>
      </c>
      <c r="K232" t="s">
        <v>478</v>
      </c>
      <c r="L232" s="13">
        <v>44887.363807870373</v>
      </c>
      <c r="M232" s="13">
        <v>44887.363807870373</v>
      </c>
      <c r="N232" s="13">
        <v>44886.598171296297</v>
      </c>
      <c r="O232" t="s">
        <v>2215</v>
      </c>
      <c r="P232" t="s">
        <v>2216</v>
      </c>
      <c r="Q232" t="s">
        <v>4991</v>
      </c>
      <c r="R232" t="s">
        <v>4992</v>
      </c>
      <c r="S232" t="s">
        <v>99</v>
      </c>
      <c r="T232" t="s">
        <v>99</v>
      </c>
      <c r="U232" t="s">
        <v>99</v>
      </c>
      <c r="V232" t="s">
        <v>4495</v>
      </c>
      <c r="W232" t="s">
        <v>4496</v>
      </c>
      <c r="X232" t="s">
        <v>99</v>
      </c>
      <c r="Y232" t="s">
        <v>99</v>
      </c>
      <c r="Z232" t="s">
        <v>99</v>
      </c>
    </row>
    <row r="233" spans="1:26">
      <c r="A233" t="s">
        <v>4993</v>
      </c>
      <c r="B233" t="s">
        <v>135</v>
      </c>
      <c r="C233">
        <v>2022</v>
      </c>
      <c r="D233" t="s">
        <v>2202</v>
      </c>
      <c r="E233" t="s">
        <v>2203</v>
      </c>
      <c r="F233" t="s">
        <v>2204</v>
      </c>
      <c r="G233" t="s">
        <v>99</v>
      </c>
      <c r="H233" t="s">
        <v>2205</v>
      </c>
      <c r="I233" t="s">
        <v>2206</v>
      </c>
      <c r="J233" t="s">
        <v>2207</v>
      </c>
      <c r="K233" t="s">
        <v>1888</v>
      </c>
      <c r="L233" s="13">
        <v>44887.363807870373</v>
      </c>
      <c r="M233" s="13">
        <v>44887.363807870373</v>
      </c>
      <c r="N233" s="13">
        <v>44886.598182870373</v>
      </c>
      <c r="O233" t="s">
        <v>2208</v>
      </c>
      <c r="P233" t="s">
        <v>557</v>
      </c>
      <c r="Q233" t="s">
        <v>4904</v>
      </c>
      <c r="R233" t="s">
        <v>4994</v>
      </c>
      <c r="S233" t="s">
        <v>99</v>
      </c>
      <c r="T233" t="s">
        <v>99</v>
      </c>
      <c r="U233" t="s">
        <v>99</v>
      </c>
      <c r="V233" t="s">
        <v>4495</v>
      </c>
      <c r="W233" t="s">
        <v>4496</v>
      </c>
      <c r="X233" t="s">
        <v>99</v>
      </c>
      <c r="Y233" t="s">
        <v>99</v>
      </c>
      <c r="Z233" t="s">
        <v>99</v>
      </c>
    </row>
    <row r="234" spans="1:26">
      <c r="A234" t="s">
        <v>4995</v>
      </c>
      <c r="B234" t="s">
        <v>135</v>
      </c>
      <c r="C234">
        <v>2022</v>
      </c>
      <c r="D234" t="s">
        <v>2187</v>
      </c>
      <c r="E234" t="s">
        <v>2188</v>
      </c>
      <c r="F234" t="s">
        <v>2189</v>
      </c>
      <c r="G234" t="s">
        <v>99</v>
      </c>
      <c r="H234" t="s">
        <v>2190</v>
      </c>
      <c r="I234" t="s">
        <v>2191</v>
      </c>
      <c r="J234" t="s">
        <v>2192</v>
      </c>
      <c r="K234" t="s">
        <v>2193</v>
      </c>
      <c r="L234" s="13">
        <v>44887.363807870373</v>
      </c>
      <c r="M234" s="13">
        <v>44887.363807870373</v>
      </c>
      <c r="N234" s="13">
        <v>44886.598194444443</v>
      </c>
      <c r="O234" t="s">
        <v>2194</v>
      </c>
      <c r="P234" t="s">
        <v>500</v>
      </c>
      <c r="Q234" t="s">
        <v>4585</v>
      </c>
      <c r="R234" t="s">
        <v>4996</v>
      </c>
      <c r="S234" t="s">
        <v>99</v>
      </c>
      <c r="T234" t="s">
        <v>99</v>
      </c>
      <c r="U234" t="s">
        <v>99</v>
      </c>
      <c r="V234" t="s">
        <v>4495</v>
      </c>
      <c r="W234" t="s">
        <v>4496</v>
      </c>
      <c r="X234" t="s">
        <v>99</v>
      </c>
      <c r="Y234" t="s">
        <v>99</v>
      </c>
      <c r="Z234" t="s">
        <v>99</v>
      </c>
    </row>
    <row r="235" spans="1:26">
      <c r="A235" t="s">
        <v>4997</v>
      </c>
      <c r="B235" t="s">
        <v>222</v>
      </c>
      <c r="C235">
        <v>2008</v>
      </c>
      <c r="D235" t="s">
        <v>2174</v>
      </c>
      <c r="E235" t="s">
        <v>2175</v>
      </c>
      <c r="F235" t="s">
        <v>2176</v>
      </c>
      <c r="G235" t="s">
        <v>2177</v>
      </c>
      <c r="H235" t="s">
        <v>99</v>
      </c>
      <c r="I235" t="s">
        <v>99</v>
      </c>
      <c r="J235" t="s">
        <v>2178</v>
      </c>
      <c r="K235" t="s">
        <v>736</v>
      </c>
      <c r="L235" s="13">
        <v>44887.363807870373</v>
      </c>
      <c r="M235" s="13">
        <v>44887.363807870373</v>
      </c>
      <c r="N235" s="13">
        <v>44886.59820601852</v>
      </c>
      <c r="O235" t="s">
        <v>2179</v>
      </c>
      <c r="P235" t="s">
        <v>99</v>
      </c>
      <c r="Q235" t="s">
        <v>4998</v>
      </c>
      <c r="R235" t="s">
        <v>99</v>
      </c>
      <c r="S235" t="s">
        <v>99</v>
      </c>
      <c r="T235" t="s">
        <v>1218</v>
      </c>
      <c r="U235" t="s">
        <v>133</v>
      </c>
      <c r="V235" t="s">
        <v>99</v>
      </c>
      <c r="W235" t="s">
        <v>4496</v>
      </c>
      <c r="X235" t="s">
        <v>2180</v>
      </c>
      <c r="Y235" t="s">
        <v>4999</v>
      </c>
      <c r="Z235" t="s">
        <v>99</v>
      </c>
    </row>
    <row r="236" spans="1:26">
      <c r="A236" t="s">
        <v>5000</v>
      </c>
      <c r="B236" t="s">
        <v>222</v>
      </c>
      <c r="C236">
        <v>2016</v>
      </c>
      <c r="D236" t="s">
        <v>2168</v>
      </c>
      <c r="E236" t="s">
        <v>2169</v>
      </c>
      <c r="F236" t="s">
        <v>2158</v>
      </c>
      <c r="G236" t="s">
        <v>2170</v>
      </c>
      <c r="H236" t="s">
        <v>99</v>
      </c>
      <c r="I236" t="s">
        <v>99</v>
      </c>
      <c r="J236" t="s">
        <v>2171</v>
      </c>
      <c r="K236" t="s">
        <v>331</v>
      </c>
      <c r="L236" s="13">
        <v>44887.363807870373</v>
      </c>
      <c r="M236" s="13">
        <v>44887.363807870373</v>
      </c>
      <c r="N236" s="13">
        <v>44886.59820601852</v>
      </c>
      <c r="O236" t="s">
        <v>2172</v>
      </c>
      <c r="P236" t="s">
        <v>99</v>
      </c>
      <c r="Q236" t="s">
        <v>5001</v>
      </c>
      <c r="R236" t="s">
        <v>99</v>
      </c>
      <c r="S236" t="s">
        <v>99</v>
      </c>
      <c r="T236" t="s">
        <v>1226</v>
      </c>
      <c r="U236" t="s">
        <v>1227</v>
      </c>
      <c r="V236" t="s">
        <v>4495</v>
      </c>
      <c r="W236" t="s">
        <v>4496</v>
      </c>
      <c r="X236" t="s">
        <v>2173</v>
      </c>
      <c r="Y236" t="s">
        <v>5002</v>
      </c>
      <c r="Z236" t="s">
        <v>99</v>
      </c>
    </row>
    <row r="237" spans="1:26">
      <c r="A237" t="s">
        <v>5003</v>
      </c>
      <c r="B237" t="s">
        <v>222</v>
      </c>
      <c r="C237">
        <v>2010</v>
      </c>
      <c r="D237" t="s">
        <v>2224</v>
      </c>
      <c r="E237" t="s">
        <v>2225</v>
      </c>
      <c r="F237" t="s">
        <v>1826</v>
      </c>
      <c r="G237" t="s">
        <v>2226</v>
      </c>
      <c r="H237" t="s">
        <v>99</v>
      </c>
      <c r="I237" t="s">
        <v>99</v>
      </c>
      <c r="J237" t="s">
        <v>2227</v>
      </c>
      <c r="K237" t="s">
        <v>130</v>
      </c>
      <c r="L237" s="13">
        <v>44887.363807870373</v>
      </c>
      <c r="M237" s="13">
        <v>44887.363807870373</v>
      </c>
      <c r="N237" s="13">
        <v>44886.59815972222</v>
      </c>
      <c r="O237" t="s">
        <v>2228</v>
      </c>
      <c r="P237" t="s">
        <v>99</v>
      </c>
      <c r="Q237" t="s">
        <v>5004</v>
      </c>
      <c r="R237" t="s">
        <v>99</v>
      </c>
      <c r="S237" t="s">
        <v>99</v>
      </c>
      <c r="T237" t="s">
        <v>1218</v>
      </c>
      <c r="U237" t="s">
        <v>133</v>
      </c>
      <c r="V237" t="s">
        <v>99</v>
      </c>
      <c r="W237" t="s">
        <v>4496</v>
      </c>
      <c r="X237" t="s">
        <v>2229</v>
      </c>
      <c r="Y237" t="s">
        <v>5005</v>
      </c>
      <c r="Z237" t="s">
        <v>4568</v>
      </c>
    </row>
    <row r="238" spans="1:26">
      <c r="A238" t="s">
        <v>5006</v>
      </c>
      <c r="B238" t="s">
        <v>222</v>
      </c>
      <c r="C238">
        <v>2016</v>
      </c>
      <c r="D238" t="s">
        <v>2217</v>
      </c>
      <c r="E238" t="s">
        <v>2218</v>
      </c>
      <c r="F238" t="s">
        <v>2219</v>
      </c>
      <c r="G238" t="s">
        <v>2220</v>
      </c>
      <c r="H238" t="s">
        <v>99</v>
      </c>
      <c r="I238" t="s">
        <v>99</v>
      </c>
      <c r="J238" t="s">
        <v>2221</v>
      </c>
      <c r="K238" t="s">
        <v>331</v>
      </c>
      <c r="L238" s="13">
        <v>44887.363807870373</v>
      </c>
      <c r="M238" s="13">
        <v>44887.363807870373</v>
      </c>
      <c r="N238" s="13">
        <v>44886.598171296297</v>
      </c>
      <c r="O238" t="s">
        <v>2222</v>
      </c>
      <c r="P238" t="s">
        <v>99</v>
      </c>
      <c r="Q238" t="s">
        <v>4601</v>
      </c>
      <c r="R238" t="s">
        <v>99</v>
      </c>
      <c r="S238" t="s">
        <v>5007</v>
      </c>
      <c r="T238" t="s">
        <v>1226</v>
      </c>
      <c r="U238" t="s">
        <v>1227</v>
      </c>
      <c r="V238" t="s">
        <v>99</v>
      </c>
      <c r="W238" t="s">
        <v>4496</v>
      </c>
      <c r="X238" t="s">
        <v>2223</v>
      </c>
      <c r="Y238" t="s">
        <v>4602</v>
      </c>
      <c r="Z238" t="s">
        <v>99</v>
      </c>
    </row>
    <row r="239" spans="1:26">
      <c r="A239" t="s">
        <v>5008</v>
      </c>
      <c r="B239" t="s">
        <v>222</v>
      </c>
      <c r="C239">
        <v>2018</v>
      </c>
      <c r="D239" t="s">
        <v>2181</v>
      </c>
      <c r="E239" t="s">
        <v>2182</v>
      </c>
      <c r="F239" t="s">
        <v>2183</v>
      </c>
      <c r="G239" t="s">
        <v>2184</v>
      </c>
      <c r="H239" t="s">
        <v>99</v>
      </c>
      <c r="I239" t="s">
        <v>99</v>
      </c>
      <c r="J239" t="s">
        <v>2185</v>
      </c>
      <c r="K239" t="s">
        <v>384</v>
      </c>
      <c r="L239" s="13">
        <v>44887.363807870373</v>
      </c>
      <c r="M239" s="13">
        <v>44887.363807870373</v>
      </c>
      <c r="N239" s="13">
        <v>44886.598194444443</v>
      </c>
      <c r="O239" t="s">
        <v>692</v>
      </c>
      <c r="P239" t="s">
        <v>99</v>
      </c>
      <c r="Q239" t="s">
        <v>5009</v>
      </c>
      <c r="R239" t="s">
        <v>99</v>
      </c>
      <c r="S239" t="s">
        <v>35</v>
      </c>
      <c r="T239" t="s">
        <v>1226</v>
      </c>
      <c r="U239" t="s">
        <v>1227</v>
      </c>
      <c r="V239" t="s">
        <v>99</v>
      </c>
      <c r="W239" t="s">
        <v>4496</v>
      </c>
      <c r="X239" t="s">
        <v>2186</v>
      </c>
      <c r="Y239" t="s">
        <v>5010</v>
      </c>
      <c r="Z239" t="s">
        <v>99</v>
      </c>
    </row>
    <row r="240" spans="1:26">
      <c r="A240" t="s">
        <v>5011</v>
      </c>
      <c r="B240" t="s">
        <v>222</v>
      </c>
      <c r="C240">
        <v>2020</v>
      </c>
      <c r="D240" t="s">
        <v>2156</v>
      </c>
      <c r="E240" t="s">
        <v>2157</v>
      </c>
      <c r="F240" t="s">
        <v>2158</v>
      </c>
      <c r="G240" t="s">
        <v>2159</v>
      </c>
      <c r="H240" t="s">
        <v>99</v>
      </c>
      <c r="I240" t="s">
        <v>99</v>
      </c>
      <c r="J240" t="s">
        <v>2160</v>
      </c>
      <c r="K240" t="s">
        <v>176</v>
      </c>
      <c r="L240" s="13">
        <v>44887.363807870373</v>
      </c>
      <c r="M240" s="13">
        <v>44887.363807870373</v>
      </c>
      <c r="N240" s="13">
        <v>44886.598217592589</v>
      </c>
      <c r="O240" t="s">
        <v>2161</v>
      </c>
      <c r="P240" t="s">
        <v>99</v>
      </c>
      <c r="Q240" t="s">
        <v>5012</v>
      </c>
      <c r="R240" t="s">
        <v>99</v>
      </c>
      <c r="S240" t="s">
        <v>99</v>
      </c>
      <c r="T240" t="s">
        <v>1226</v>
      </c>
      <c r="U240" t="s">
        <v>1227</v>
      </c>
      <c r="V240" t="s">
        <v>4495</v>
      </c>
      <c r="W240" t="s">
        <v>4496</v>
      </c>
      <c r="X240" t="s">
        <v>2162</v>
      </c>
      <c r="Y240" t="s">
        <v>5013</v>
      </c>
      <c r="Z240" t="s">
        <v>99</v>
      </c>
    </row>
    <row r="241" spans="1:26">
      <c r="A241" t="s">
        <v>5014</v>
      </c>
      <c r="B241" t="s">
        <v>222</v>
      </c>
      <c r="C241">
        <v>2020</v>
      </c>
      <c r="D241" t="s">
        <v>2143</v>
      </c>
      <c r="E241" t="s">
        <v>2144</v>
      </c>
      <c r="F241" t="s">
        <v>2145</v>
      </c>
      <c r="G241" t="s">
        <v>2146</v>
      </c>
      <c r="H241" t="s">
        <v>99</v>
      </c>
      <c r="I241" t="s">
        <v>99</v>
      </c>
      <c r="J241" t="s">
        <v>2147</v>
      </c>
      <c r="K241" t="s">
        <v>176</v>
      </c>
      <c r="L241" s="13">
        <v>44887.363807870373</v>
      </c>
      <c r="M241" s="13">
        <v>44887.363807870373</v>
      </c>
      <c r="N241" s="13">
        <v>44886.598229166666</v>
      </c>
      <c r="O241" t="s">
        <v>2148</v>
      </c>
      <c r="P241" t="s">
        <v>99</v>
      </c>
      <c r="Q241" t="s">
        <v>5015</v>
      </c>
      <c r="R241" t="s">
        <v>99</v>
      </c>
      <c r="S241" t="s">
        <v>99</v>
      </c>
      <c r="T241" t="s">
        <v>1226</v>
      </c>
      <c r="U241" t="s">
        <v>1227</v>
      </c>
      <c r="V241" t="s">
        <v>4495</v>
      </c>
      <c r="W241" t="s">
        <v>4496</v>
      </c>
      <c r="X241" t="s">
        <v>2149</v>
      </c>
      <c r="Y241" t="s">
        <v>5016</v>
      </c>
      <c r="Z241" t="s">
        <v>99</v>
      </c>
    </row>
    <row r="242" spans="1:26">
      <c r="A242" t="s">
        <v>5017</v>
      </c>
      <c r="B242" t="s">
        <v>222</v>
      </c>
      <c r="C242">
        <v>2021</v>
      </c>
      <c r="D242" t="s">
        <v>2136</v>
      </c>
      <c r="E242" t="s">
        <v>2137</v>
      </c>
      <c r="F242" t="s">
        <v>2138</v>
      </c>
      <c r="G242" t="s">
        <v>2139</v>
      </c>
      <c r="H242" t="s">
        <v>99</v>
      </c>
      <c r="I242" t="s">
        <v>99</v>
      </c>
      <c r="J242" t="s">
        <v>2140</v>
      </c>
      <c r="K242" t="s">
        <v>113</v>
      </c>
      <c r="L242" s="13">
        <v>44887.363807870373</v>
      </c>
      <c r="M242" s="13">
        <v>44887.363807870373</v>
      </c>
      <c r="N242" s="13">
        <v>44886.598240740743</v>
      </c>
      <c r="O242" t="s">
        <v>2141</v>
      </c>
      <c r="P242" t="s">
        <v>99</v>
      </c>
      <c r="Q242" t="s">
        <v>5018</v>
      </c>
      <c r="R242" t="s">
        <v>99</v>
      </c>
      <c r="S242" t="s">
        <v>99</v>
      </c>
      <c r="T242" t="s">
        <v>1226</v>
      </c>
      <c r="U242" t="s">
        <v>1227</v>
      </c>
      <c r="V242" t="s">
        <v>4495</v>
      </c>
      <c r="W242" t="s">
        <v>4496</v>
      </c>
      <c r="X242" t="s">
        <v>2142</v>
      </c>
      <c r="Y242" t="s">
        <v>5019</v>
      </c>
      <c r="Z242" t="s">
        <v>99</v>
      </c>
    </row>
    <row r="243" spans="1:26">
      <c r="A243" t="s">
        <v>5020</v>
      </c>
      <c r="B243" t="s">
        <v>222</v>
      </c>
      <c r="C243">
        <v>2020</v>
      </c>
      <c r="D243" t="s">
        <v>2150</v>
      </c>
      <c r="E243" t="s">
        <v>2151</v>
      </c>
      <c r="F243" t="s">
        <v>1508</v>
      </c>
      <c r="G243" t="s">
        <v>2152</v>
      </c>
      <c r="H243" t="s">
        <v>99</v>
      </c>
      <c r="I243" t="s">
        <v>99</v>
      </c>
      <c r="J243" t="s">
        <v>2153</v>
      </c>
      <c r="K243" t="s">
        <v>176</v>
      </c>
      <c r="L243" s="13">
        <v>44887.363807870373</v>
      </c>
      <c r="M243" s="13">
        <v>44887.363807870373</v>
      </c>
      <c r="N243" s="13">
        <v>44886.598217592589</v>
      </c>
      <c r="O243" t="s">
        <v>2154</v>
      </c>
      <c r="P243" t="s">
        <v>99</v>
      </c>
      <c r="Q243" t="s">
        <v>5021</v>
      </c>
      <c r="R243" t="s">
        <v>99</v>
      </c>
      <c r="S243" t="s">
        <v>5022</v>
      </c>
      <c r="T243" t="s">
        <v>1226</v>
      </c>
      <c r="U243" t="s">
        <v>1227</v>
      </c>
      <c r="V243" t="s">
        <v>4495</v>
      </c>
      <c r="W243" t="s">
        <v>4496</v>
      </c>
      <c r="X243" t="s">
        <v>2155</v>
      </c>
      <c r="Y243" t="s">
        <v>5023</v>
      </c>
      <c r="Z243" t="s">
        <v>99</v>
      </c>
    </row>
    <row r="244" spans="1:26">
      <c r="A244" t="s">
        <v>5024</v>
      </c>
      <c r="B244" t="s">
        <v>222</v>
      </c>
      <c r="C244">
        <v>2014</v>
      </c>
      <c r="D244" t="s">
        <v>2129</v>
      </c>
      <c r="E244" t="s">
        <v>2130</v>
      </c>
      <c r="F244" t="s">
        <v>2131</v>
      </c>
      <c r="G244" t="s">
        <v>2132</v>
      </c>
      <c r="H244" t="s">
        <v>99</v>
      </c>
      <c r="I244" t="s">
        <v>99</v>
      </c>
      <c r="J244" t="s">
        <v>2133</v>
      </c>
      <c r="K244" t="s">
        <v>400</v>
      </c>
      <c r="L244" s="13">
        <v>44887.363807870373</v>
      </c>
      <c r="M244" s="13">
        <v>44887.363807870373</v>
      </c>
      <c r="N244" s="13">
        <v>44886.598252314812</v>
      </c>
      <c r="O244" t="s">
        <v>2134</v>
      </c>
      <c r="P244" t="s">
        <v>99</v>
      </c>
      <c r="Q244" t="s">
        <v>5025</v>
      </c>
      <c r="R244" t="s">
        <v>99</v>
      </c>
      <c r="S244" t="s">
        <v>99</v>
      </c>
      <c r="T244" t="s">
        <v>1226</v>
      </c>
      <c r="U244" t="s">
        <v>1227</v>
      </c>
      <c r="V244" t="s">
        <v>99</v>
      </c>
      <c r="W244" t="s">
        <v>4496</v>
      </c>
      <c r="X244" t="s">
        <v>2135</v>
      </c>
      <c r="Y244" t="s">
        <v>5026</v>
      </c>
      <c r="Z244" t="s">
        <v>99</v>
      </c>
    </row>
    <row r="245" spans="1:26">
      <c r="A245" t="s">
        <v>5027</v>
      </c>
      <c r="B245" t="s">
        <v>222</v>
      </c>
      <c r="C245">
        <v>2019</v>
      </c>
      <c r="D245" t="s">
        <v>2122</v>
      </c>
      <c r="E245" t="s">
        <v>2123</v>
      </c>
      <c r="F245" t="s">
        <v>2124</v>
      </c>
      <c r="G245" t="s">
        <v>2125</v>
      </c>
      <c r="H245" t="s">
        <v>99</v>
      </c>
      <c r="I245" t="s">
        <v>99</v>
      </c>
      <c r="J245" t="s">
        <v>2126</v>
      </c>
      <c r="K245" t="s">
        <v>271</v>
      </c>
      <c r="L245" s="13">
        <v>44887.363807870373</v>
      </c>
      <c r="M245" s="13">
        <v>44887.363807870373</v>
      </c>
      <c r="N245" s="13">
        <v>44886.598252314812</v>
      </c>
      <c r="O245" t="s">
        <v>2127</v>
      </c>
      <c r="P245" t="s">
        <v>99</v>
      </c>
      <c r="Q245" t="s">
        <v>5028</v>
      </c>
      <c r="R245" t="s">
        <v>99</v>
      </c>
      <c r="S245" t="s">
        <v>99</v>
      </c>
      <c r="T245" t="s">
        <v>1226</v>
      </c>
      <c r="U245" t="s">
        <v>1227</v>
      </c>
      <c r="V245" t="s">
        <v>4495</v>
      </c>
      <c r="W245" t="s">
        <v>4496</v>
      </c>
      <c r="X245" t="s">
        <v>2128</v>
      </c>
      <c r="Y245" t="s">
        <v>5029</v>
      </c>
      <c r="Z245" t="s">
        <v>99</v>
      </c>
    </row>
    <row r="246" spans="1:26">
      <c r="A246" t="s">
        <v>5030</v>
      </c>
      <c r="B246" t="s">
        <v>222</v>
      </c>
      <c r="C246">
        <v>2018</v>
      </c>
      <c r="D246" t="s">
        <v>2115</v>
      </c>
      <c r="E246" t="s">
        <v>2116</v>
      </c>
      <c r="F246" t="s">
        <v>2117</v>
      </c>
      <c r="G246" t="s">
        <v>2118</v>
      </c>
      <c r="H246" t="s">
        <v>99</v>
      </c>
      <c r="I246" t="s">
        <v>99</v>
      </c>
      <c r="J246" t="s">
        <v>2119</v>
      </c>
      <c r="K246" t="s">
        <v>384</v>
      </c>
      <c r="L246" s="13">
        <v>44887.363807870373</v>
      </c>
      <c r="M246" s="13">
        <v>44887.363807870373</v>
      </c>
      <c r="N246" s="13">
        <v>44886.598263888889</v>
      </c>
      <c r="O246" t="s">
        <v>2120</v>
      </c>
      <c r="P246" t="s">
        <v>99</v>
      </c>
      <c r="Q246" t="s">
        <v>5031</v>
      </c>
      <c r="R246" t="s">
        <v>99</v>
      </c>
      <c r="S246" t="s">
        <v>99</v>
      </c>
      <c r="T246" t="s">
        <v>1226</v>
      </c>
      <c r="U246" t="s">
        <v>1227</v>
      </c>
      <c r="V246" t="s">
        <v>99</v>
      </c>
      <c r="W246" t="s">
        <v>4496</v>
      </c>
      <c r="X246" t="s">
        <v>2121</v>
      </c>
      <c r="Y246" t="s">
        <v>5032</v>
      </c>
      <c r="Z246" t="s">
        <v>99</v>
      </c>
    </row>
    <row r="247" spans="1:26">
      <c r="A247" t="s">
        <v>5033</v>
      </c>
      <c r="B247" t="s">
        <v>222</v>
      </c>
      <c r="C247">
        <v>2015</v>
      </c>
      <c r="D247" t="s">
        <v>2086</v>
      </c>
      <c r="E247" t="s">
        <v>2087</v>
      </c>
      <c r="F247" t="s">
        <v>2088</v>
      </c>
      <c r="G247" t="s">
        <v>2089</v>
      </c>
      <c r="H247" t="s">
        <v>99</v>
      </c>
      <c r="I247" t="s">
        <v>99</v>
      </c>
      <c r="J247" t="s">
        <v>2090</v>
      </c>
      <c r="K247" t="s">
        <v>564</v>
      </c>
      <c r="L247" s="13">
        <v>44887.363807870373</v>
      </c>
      <c r="M247" s="13">
        <v>44887.363807870373</v>
      </c>
      <c r="N247" s="13">
        <v>44886.598287037035</v>
      </c>
      <c r="O247" t="s">
        <v>2091</v>
      </c>
      <c r="P247" t="s">
        <v>99</v>
      </c>
      <c r="Q247" t="s">
        <v>5034</v>
      </c>
      <c r="R247" t="s">
        <v>99</v>
      </c>
      <c r="S247" t="s">
        <v>99</v>
      </c>
      <c r="T247" t="s">
        <v>1226</v>
      </c>
      <c r="U247" t="s">
        <v>1227</v>
      </c>
      <c r="V247" t="s">
        <v>99</v>
      </c>
      <c r="W247" t="s">
        <v>4496</v>
      </c>
      <c r="X247" t="s">
        <v>2092</v>
      </c>
      <c r="Y247" t="s">
        <v>5035</v>
      </c>
      <c r="Z247" t="s">
        <v>99</v>
      </c>
    </row>
    <row r="248" spans="1:26">
      <c r="A248" t="s">
        <v>5036</v>
      </c>
      <c r="B248" t="s">
        <v>135</v>
      </c>
      <c r="C248">
        <v>1993</v>
      </c>
      <c r="D248" t="s">
        <v>1939</v>
      </c>
      <c r="E248" t="s">
        <v>2074</v>
      </c>
      <c r="F248" t="s">
        <v>1941</v>
      </c>
      <c r="G248" t="s">
        <v>99</v>
      </c>
      <c r="H248" t="s">
        <v>1942</v>
      </c>
      <c r="I248" t="s">
        <v>2075</v>
      </c>
      <c r="J248" t="s">
        <v>2076</v>
      </c>
      <c r="K248" t="s">
        <v>2077</v>
      </c>
      <c r="L248" s="13">
        <v>44887.363807870373</v>
      </c>
      <c r="M248" s="13">
        <v>44887.363807870373</v>
      </c>
      <c r="N248" s="13">
        <v>44886.598298611112</v>
      </c>
      <c r="O248" t="s">
        <v>2078</v>
      </c>
      <c r="P248" t="s">
        <v>288</v>
      </c>
      <c r="Q248" t="s">
        <v>557</v>
      </c>
      <c r="R248" t="s">
        <v>1941</v>
      </c>
      <c r="S248" t="s">
        <v>37</v>
      </c>
      <c r="T248" t="s">
        <v>99</v>
      </c>
      <c r="U248" t="s">
        <v>99</v>
      </c>
      <c r="V248" t="s">
        <v>4495</v>
      </c>
      <c r="W248" t="s">
        <v>4496</v>
      </c>
      <c r="X248" t="s">
        <v>99</v>
      </c>
      <c r="Y248" t="s">
        <v>99</v>
      </c>
      <c r="Z248" t="s">
        <v>99</v>
      </c>
    </row>
    <row r="249" spans="1:26">
      <c r="A249" t="s">
        <v>5037</v>
      </c>
      <c r="B249" t="s">
        <v>135</v>
      </c>
      <c r="C249">
        <v>2018</v>
      </c>
      <c r="D249" t="s">
        <v>2066</v>
      </c>
      <c r="E249" t="s">
        <v>2067</v>
      </c>
      <c r="F249" t="s">
        <v>2068</v>
      </c>
      <c r="G249" t="s">
        <v>99</v>
      </c>
      <c r="H249" t="s">
        <v>2069</v>
      </c>
      <c r="I249" t="s">
        <v>2070</v>
      </c>
      <c r="J249" t="s">
        <v>2071</v>
      </c>
      <c r="K249" t="s">
        <v>2072</v>
      </c>
      <c r="L249" s="13">
        <v>44887.363807870373</v>
      </c>
      <c r="M249" s="13">
        <v>44887.363807870373</v>
      </c>
      <c r="N249" s="13">
        <v>44886.598298611112</v>
      </c>
      <c r="O249" t="s">
        <v>2073</v>
      </c>
      <c r="P249" t="s">
        <v>500</v>
      </c>
      <c r="Q249" t="s">
        <v>4957</v>
      </c>
      <c r="R249" t="s">
        <v>5038</v>
      </c>
      <c r="S249" t="s">
        <v>5039</v>
      </c>
      <c r="T249" t="s">
        <v>99</v>
      </c>
      <c r="U249" t="s">
        <v>99</v>
      </c>
      <c r="V249" t="s">
        <v>4495</v>
      </c>
      <c r="W249" t="s">
        <v>4496</v>
      </c>
      <c r="X249" t="s">
        <v>99</v>
      </c>
      <c r="Y249" t="s">
        <v>99</v>
      </c>
      <c r="Z249" t="s">
        <v>99</v>
      </c>
    </row>
    <row r="250" spans="1:26">
      <c r="A250" t="s">
        <v>5040</v>
      </c>
      <c r="B250" t="s">
        <v>222</v>
      </c>
      <c r="C250">
        <v>2013</v>
      </c>
      <c r="D250" t="s">
        <v>2060</v>
      </c>
      <c r="E250" t="s">
        <v>2061</v>
      </c>
      <c r="F250" t="s">
        <v>1826</v>
      </c>
      <c r="G250" t="s">
        <v>2062</v>
      </c>
      <c r="H250" t="s">
        <v>99</v>
      </c>
      <c r="I250" t="s">
        <v>99</v>
      </c>
      <c r="J250" t="s">
        <v>2063</v>
      </c>
      <c r="K250" t="s">
        <v>139</v>
      </c>
      <c r="L250" s="13">
        <v>44887.363807870373</v>
      </c>
      <c r="M250" s="13">
        <v>44887.363807870373</v>
      </c>
      <c r="N250" s="13">
        <v>44886.598310185182</v>
      </c>
      <c r="O250" t="s">
        <v>2064</v>
      </c>
      <c r="P250" t="s">
        <v>99</v>
      </c>
      <c r="Q250" t="s">
        <v>4676</v>
      </c>
      <c r="R250" t="s">
        <v>99</v>
      </c>
      <c r="S250" t="s">
        <v>99</v>
      </c>
      <c r="T250" t="s">
        <v>1226</v>
      </c>
      <c r="U250" t="s">
        <v>1227</v>
      </c>
      <c r="V250" t="s">
        <v>99</v>
      </c>
      <c r="W250" t="s">
        <v>4496</v>
      </c>
      <c r="X250" t="s">
        <v>2065</v>
      </c>
      <c r="Y250" t="s">
        <v>4677</v>
      </c>
      <c r="Z250" t="s">
        <v>4568</v>
      </c>
    </row>
    <row r="251" spans="1:26">
      <c r="A251" t="s">
        <v>5041</v>
      </c>
      <c r="B251" t="s">
        <v>135</v>
      </c>
      <c r="C251">
        <v>2018</v>
      </c>
      <c r="D251" t="s">
        <v>2107</v>
      </c>
      <c r="E251" t="s">
        <v>2108</v>
      </c>
      <c r="F251" t="s">
        <v>2109</v>
      </c>
      <c r="G251" t="s">
        <v>99</v>
      </c>
      <c r="H251" t="s">
        <v>2110</v>
      </c>
      <c r="I251" t="s">
        <v>2111</v>
      </c>
      <c r="J251" t="s">
        <v>2112</v>
      </c>
      <c r="K251" t="s">
        <v>2113</v>
      </c>
      <c r="L251" s="13">
        <v>44887.363807870373</v>
      </c>
      <c r="M251" s="13">
        <v>44887.363807870373</v>
      </c>
      <c r="N251" s="13">
        <v>44886.598275462966</v>
      </c>
      <c r="O251" t="s">
        <v>2114</v>
      </c>
      <c r="P251" t="s">
        <v>363</v>
      </c>
      <c r="Q251" t="s">
        <v>5042</v>
      </c>
      <c r="R251" t="s">
        <v>5043</v>
      </c>
      <c r="S251" t="s">
        <v>99</v>
      </c>
      <c r="T251" t="s">
        <v>99</v>
      </c>
      <c r="U251" t="s">
        <v>99</v>
      </c>
      <c r="V251" t="s">
        <v>4495</v>
      </c>
      <c r="W251" t="s">
        <v>4496</v>
      </c>
      <c r="X251" t="s">
        <v>99</v>
      </c>
      <c r="Y251" t="s">
        <v>99</v>
      </c>
      <c r="Z251" t="s">
        <v>99</v>
      </c>
    </row>
    <row r="252" spans="1:26">
      <c r="A252" t="s">
        <v>5044</v>
      </c>
      <c r="B252" t="s">
        <v>222</v>
      </c>
      <c r="C252">
        <v>2015</v>
      </c>
      <c r="D252" t="s">
        <v>2100</v>
      </c>
      <c r="E252" t="s">
        <v>2101</v>
      </c>
      <c r="F252" t="s">
        <v>2102</v>
      </c>
      <c r="G252" t="s">
        <v>2103</v>
      </c>
      <c r="H252" t="s">
        <v>99</v>
      </c>
      <c r="I252" t="s">
        <v>99</v>
      </c>
      <c r="J252" t="s">
        <v>2104</v>
      </c>
      <c r="K252" t="s">
        <v>564</v>
      </c>
      <c r="L252" s="13">
        <v>44887.363807870373</v>
      </c>
      <c r="M252" s="13">
        <v>44887.363807870373</v>
      </c>
      <c r="N252" s="13">
        <v>44886.598275462966</v>
      </c>
      <c r="O252" t="s">
        <v>2105</v>
      </c>
      <c r="P252" t="s">
        <v>99</v>
      </c>
      <c r="Q252" t="s">
        <v>5045</v>
      </c>
      <c r="R252" t="s">
        <v>99</v>
      </c>
      <c r="S252" t="s">
        <v>99</v>
      </c>
      <c r="T252" t="s">
        <v>1226</v>
      </c>
      <c r="U252" t="s">
        <v>1227</v>
      </c>
      <c r="V252" t="s">
        <v>99</v>
      </c>
      <c r="W252" t="s">
        <v>4496</v>
      </c>
      <c r="X252" t="s">
        <v>2106</v>
      </c>
      <c r="Y252" t="s">
        <v>5046</v>
      </c>
      <c r="Z252" t="s">
        <v>99</v>
      </c>
    </row>
    <row r="253" spans="1:26">
      <c r="A253" t="s">
        <v>5047</v>
      </c>
      <c r="B253" t="s">
        <v>222</v>
      </c>
      <c r="C253">
        <v>2006</v>
      </c>
      <c r="D253" t="s">
        <v>2093</v>
      </c>
      <c r="E253" t="s">
        <v>2094</v>
      </c>
      <c r="F253" t="s">
        <v>2095</v>
      </c>
      <c r="G253" t="s">
        <v>2096</v>
      </c>
      <c r="H253" t="s">
        <v>99</v>
      </c>
      <c r="I253" t="s">
        <v>99</v>
      </c>
      <c r="J253" t="s">
        <v>2097</v>
      </c>
      <c r="K253" t="s">
        <v>279</v>
      </c>
      <c r="L253" s="13">
        <v>44887.363807870373</v>
      </c>
      <c r="M253" s="13">
        <v>44887.363807870373</v>
      </c>
      <c r="N253" s="13">
        <v>44886.598275462966</v>
      </c>
      <c r="O253" t="s">
        <v>2098</v>
      </c>
      <c r="P253" t="s">
        <v>99</v>
      </c>
      <c r="Q253" t="s">
        <v>5048</v>
      </c>
      <c r="R253" t="s">
        <v>99</v>
      </c>
      <c r="S253" t="s">
        <v>99</v>
      </c>
      <c r="T253" t="s">
        <v>1218</v>
      </c>
      <c r="U253" t="s">
        <v>133</v>
      </c>
      <c r="V253" t="s">
        <v>99</v>
      </c>
      <c r="W253" t="s">
        <v>4496</v>
      </c>
      <c r="X253" t="s">
        <v>2099</v>
      </c>
      <c r="Y253" t="s">
        <v>5049</v>
      </c>
      <c r="Z253" t="s">
        <v>4556</v>
      </c>
    </row>
    <row r="254" spans="1:26">
      <c r="A254" t="s">
        <v>5050</v>
      </c>
      <c r="B254" t="s">
        <v>222</v>
      </c>
      <c r="C254">
        <v>2017</v>
      </c>
      <c r="D254" t="s">
        <v>2079</v>
      </c>
      <c r="E254" t="s">
        <v>2080</v>
      </c>
      <c r="F254" t="s">
        <v>2081</v>
      </c>
      <c r="G254" t="s">
        <v>2082</v>
      </c>
      <c r="H254" t="s">
        <v>99</v>
      </c>
      <c r="I254" t="s">
        <v>99</v>
      </c>
      <c r="J254" t="s">
        <v>2083</v>
      </c>
      <c r="K254" t="s">
        <v>156</v>
      </c>
      <c r="L254" s="13">
        <v>44887.363807870373</v>
      </c>
      <c r="M254" s="13">
        <v>44887.363807870373</v>
      </c>
      <c r="N254" s="13">
        <v>44886.598287037035</v>
      </c>
      <c r="O254" t="s">
        <v>2084</v>
      </c>
      <c r="P254" t="s">
        <v>99</v>
      </c>
      <c r="Q254" t="s">
        <v>5051</v>
      </c>
      <c r="R254" t="s">
        <v>99</v>
      </c>
      <c r="S254" t="s">
        <v>5052</v>
      </c>
      <c r="T254" t="s">
        <v>1226</v>
      </c>
      <c r="U254" t="s">
        <v>1227</v>
      </c>
      <c r="V254" t="s">
        <v>99</v>
      </c>
      <c r="W254" t="s">
        <v>4496</v>
      </c>
      <c r="X254" t="s">
        <v>2085</v>
      </c>
      <c r="Y254" t="s">
        <v>5053</v>
      </c>
      <c r="Z254" t="s">
        <v>99</v>
      </c>
    </row>
    <row r="255" spans="1:26">
      <c r="A255" t="s">
        <v>5054</v>
      </c>
      <c r="B255" t="s">
        <v>222</v>
      </c>
      <c r="C255">
        <v>1991</v>
      </c>
      <c r="D255" t="s">
        <v>2045</v>
      </c>
      <c r="E255" t="s">
        <v>2046</v>
      </c>
      <c r="F255" t="s">
        <v>2047</v>
      </c>
      <c r="G255" t="s">
        <v>2048</v>
      </c>
      <c r="H255" t="s">
        <v>99</v>
      </c>
      <c r="I255" t="s">
        <v>99</v>
      </c>
      <c r="J255" t="s">
        <v>2049</v>
      </c>
      <c r="K255" t="s">
        <v>2050</v>
      </c>
      <c r="L255" s="13">
        <v>44887.363807870373</v>
      </c>
      <c r="M255" s="13">
        <v>44887.363807870373</v>
      </c>
      <c r="N255" s="13">
        <v>44886.598321759258</v>
      </c>
      <c r="O255" t="s">
        <v>2051</v>
      </c>
      <c r="P255" t="s">
        <v>99</v>
      </c>
      <c r="Q255" t="s">
        <v>5055</v>
      </c>
      <c r="R255" t="s">
        <v>99</v>
      </c>
      <c r="S255" t="s">
        <v>99</v>
      </c>
      <c r="T255" t="s">
        <v>1218</v>
      </c>
      <c r="U255" t="s">
        <v>133</v>
      </c>
      <c r="V255" t="s">
        <v>4495</v>
      </c>
      <c r="W255" t="s">
        <v>4496</v>
      </c>
      <c r="X255" t="s">
        <v>2052</v>
      </c>
      <c r="Y255" t="s">
        <v>5056</v>
      </c>
      <c r="Z255" t="s">
        <v>5057</v>
      </c>
    </row>
    <row r="256" spans="1:26">
      <c r="A256" t="s">
        <v>5058</v>
      </c>
      <c r="B256" t="s">
        <v>135</v>
      </c>
      <c r="C256">
        <v>2020</v>
      </c>
      <c r="D256" t="s">
        <v>2037</v>
      </c>
      <c r="E256" t="s">
        <v>2038</v>
      </c>
      <c r="F256" t="s">
        <v>2039</v>
      </c>
      <c r="G256" t="s">
        <v>99</v>
      </c>
      <c r="H256" t="s">
        <v>2040</v>
      </c>
      <c r="I256" t="s">
        <v>2041</v>
      </c>
      <c r="J256" t="s">
        <v>2042</v>
      </c>
      <c r="K256" t="s">
        <v>2043</v>
      </c>
      <c r="L256" s="13">
        <v>44887.363807870373</v>
      </c>
      <c r="M256" s="13">
        <v>44887.363807870373</v>
      </c>
      <c r="N256" s="13">
        <v>44886.598321759258</v>
      </c>
      <c r="O256" t="s">
        <v>2044</v>
      </c>
      <c r="P256" t="s">
        <v>182</v>
      </c>
      <c r="Q256" t="s">
        <v>5059</v>
      </c>
      <c r="R256" t="s">
        <v>5060</v>
      </c>
      <c r="S256" t="s">
        <v>5061</v>
      </c>
      <c r="T256" t="s">
        <v>99</v>
      </c>
      <c r="U256" t="s">
        <v>99</v>
      </c>
      <c r="V256" t="s">
        <v>4495</v>
      </c>
      <c r="W256" t="s">
        <v>4496</v>
      </c>
      <c r="X256" t="s">
        <v>99</v>
      </c>
      <c r="Y256" t="s">
        <v>99</v>
      </c>
      <c r="Z256" t="s">
        <v>99</v>
      </c>
    </row>
    <row r="257" spans="1:26">
      <c r="A257" t="s">
        <v>5062</v>
      </c>
      <c r="B257" t="s">
        <v>222</v>
      </c>
      <c r="C257">
        <v>2022</v>
      </c>
      <c r="D257" t="s">
        <v>2030</v>
      </c>
      <c r="E257" t="s">
        <v>32</v>
      </c>
      <c r="F257" t="s">
        <v>2031</v>
      </c>
      <c r="G257" t="s">
        <v>2032</v>
      </c>
      <c r="H257" t="s">
        <v>99</v>
      </c>
      <c r="I257" t="s">
        <v>99</v>
      </c>
      <c r="J257" t="s">
        <v>2033</v>
      </c>
      <c r="K257" t="s">
        <v>123</v>
      </c>
      <c r="L257" s="13">
        <v>44887.363807870373</v>
      </c>
      <c r="M257" s="13">
        <v>44887.363807870373</v>
      </c>
      <c r="N257" s="13">
        <v>44886.598321759258</v>
      </c>
      <c r="O257" t="s">
        <v>2034</v>
      </c>
      <c r="P257" t="s">
        <v>99</v>
      </c>
      <c r="Q257" t="s">
        <v>99</v>
      </c>
      <c r="R257" t="s">
        <v>99</v>
      </c>
      <c r="S257" t="s">
        <v>99</v>
      </c>
      <c r="T257" t="s">
        <v>2035</v>
      </c>
      <c r="U257" t="s">
        <v>1363</v>
      </c>
      <c r="V257" t="s">
        <v>4495</v>
      </c>
      <c r="W257" t="s">
        <v>4496</v>
      </c>
      <c r="X257" t="s">
        <v>2036</v>
      </c>
      <c r="Y257" t="s">
        <v>99</v>
      </c>
      <c r="Z257" t="s">
        <v>99</v>
      </c>
    </row>
    <row r="258" spans="1:26">
      <c r="A258" t="s">
        <v>5063</v>
      </c>
      <c r="B258" t="s">
        <v>222</v>
      </c>
      <c r="C258">
        <v>2000</v>
      </c>
      <c r="D258" t="s">
        <v>2018</v>
      </c>
      <c r="E258" t="s">
        <v>2019</v>
      </c>
      <c r="F258" t="s">
        <v>2020</v>
      </c>
      <c r="G258" t="s">
        <v>2021</v>
      </c>
      <c r="H258" t="s">
        <v>99</v>
      </c>
      <c r="I258" t="s">
        <v>99</v>
      </c>
      <c r="J258" t="s">
        <v>2022</v>
      </c>
      <c r="K258" t="s">
        <v>1801</v>
      </c>
      <c r="L258" s="13">
        <v>44887.363807870373</v>
      </c>
      <c r="M258" s="13">
        <v>44887.363807870373</v>
      </c>
      <c r="N258" s="13">
        <v>44886.598368055558</v>
      </c>
      <c r="O258" t="s">
        <v>2023</v>
      </c>
      <c r="P258" t="s">
        <v>99</v>
      </c>
      <c r="Q258" t="s">
        <v>5064</v>
      </c>
      <c r="R258" t="s">
        <v>99</v>
      </c>
      <c r="S258" t="s">
        <v>99</v>
      </c>
      <c r="T258" t="s">
        <v>1218</v>
      </c>
      <c r="U258" t="s">
        <v>133</v>
      </c>
      <c r="V258" t="s">
        <v>99</v>
      </c>
      <c r="W258" t="s">
        <v>4496</v>
      </c>
      <c r="X258" t="s">
        <v>2024</v>
      </c>
      <c r="Y258" t="s">
        <v>5065</v>
      </c>
      <c r="Z258" t="s">
        <v>4526</v>
      </c>
    </row>
    <row r="259" spans="1:26">
      <c r="A259" t="s">
        <v>5066</v>
      </c>
      <c r="B259" t="s">
        <v>222</v>
      </c>
      <c r="C259">
        <v>2009</v>
      </c>
      <c r="D259" t="s">
        <v>2011</v>
      </c>
      <c r="E259" t="s">
        <v>2012</v>
      </c>
      <c r="F259" t="s">
        <v>2013</v>
      </c>
      <c r="G259" t="s">
        <v>2014</v>
      </c>
      <c r="H259" t="s">
        <v>99</v>
      </c>
      <c r="I259" t="s">
        <v>99</v>
      </c>
      <c r="J259" t="s">
        <v>2015</v>
      </c>
      <c r="K259" t="s">
        <v>615</v>
      </c>
      <c r="L259" s="13">
        <v>44887.363807870373</v>
      </c>
      <c r="M259" s="13">
        <v>44887.363807870373</v>
      </c>
      <c r="N259" s="13">
        <v>44886.598379629628</v>
      </c>
      <c r="O259" t="s">
        <v>2016</v>
      </c>
      <c r="P259" t="s">
        <v>99</v>
      </c>
      <c r="Q259" t="s">
        <v>4886</v>
      </c>
      <c r="R259" t="s">
        <v>99</v>
      </c>
      <c r="S259" t="s">
        <v>5067</v>
      </c>
      <c r="T259" t="s">
        <v>1218</v>
      </c>
      <c r="U259" t="s">
        <v>133</v>
      </c>
      <c r="V259" t="s">
        <v>99</v>
      </c>
      <c r="W259" t="s">
        <v>4496</v>
      </c>
      <c r="X259" t="s">
        <v>2017</v>
      </c>
      <c r="Y259" t="s">
        <v>4887</v>
      </c>
      <c r="Z259" t="s">
        <v>99</v>
      </c>
    </row>
    <row r="260" spans="1:26">
      <c r="A260" t="s">
        <v>5068</v>
      </c>
      <c r="B260" t="s">
        <v>222</v>
      </c>
      <c r="C260">
        <v>2022</v>
      </c>
      <c r="D260" t="s">
        <v>2004</v>
      </c>
      <c r="E260" t="s">
        <v>2005</v>
      </c>
      <c r="F260" t="s">
        <v>2006</v>
      </c>
      <c r="G260" t="s">
        <v>2007</v>
      </c>
      <c r="H260" t="s">
        <v>99</v>
      </c>
      <c r="I260" t="s">
        <v>99</v>
      </c>
      <c r="J260" t="s">
        <v>2008</v>
      </c>
      <c r="K260" t="s">
        <v>123</v>
      </c>
      <c r="L260" s="13">
        <v>44887.363807870373</v>
      </c>
      <c r="M260" s="13">
        <v>44887.363807870373</v>
      </c>
      <c r="N260" s="13">
        <v>44886.598379629628</v>
      </c>
      <c r="O260" t="s">
        <v>2009</v>
      </c>
      <c r="P260" t="s">
        <v>99</v>
      </c>
      <c r="Q260" t="s">
        <v>5069</v>
      </c>
      <c r="R260" t="s">
        <v>99</v>
      </c>
      <c r="S260" t="s">
        <v>5070</v>
      </c>
      <c r="T260" t="s">
        <v>1226</v>
      </c>
      <c r="U260" t="s">
        <v>1227</v>
      </c>
      <c r="V260" t="s">
        <v>4495</v>
      </c>
      <c r="W260" t="s">
        <v>4496</v>
      </c>
      <c r="X260" t="s">
        <v>2010</v>
      </c>
      <c r="Y260" t="s">
        <v>5071</v>
      </c>
      <c r="Z260" t="s">
        <v>99</v>
      </c>
    </row>
    <row r="261" spans="1:26">
      <c r="A261" t="s">
        <v>5072</v>
      </c>
      <c r="B261" t="s">
        <v>222</v>
      </c>
      <c r="C261">
        <v>2016</v>
      </c>
      <c r="D261" t="s">
        <v>2053</v>
      </c>
      <c r="E261" t="s">
        <v>2054</v>
      </c>
      <c r="F261" t="s">
        <v>2055</v>
      </c>
      <c r="G261" t="s">
        <v>2056</v>
      </c>
      <c r="H261" t="s">
        <v>99</v>
      </c>
      <c r="I261" t="s">
        <v>99</v>
      </c>
      <c r="J261" t="s">
        <v>2057</v>
      </c>
      <c r="K261" t="s">
        <v>331</v>
      </c>
      <c r="L261" s="13">
        <v>44887.363807870373</v>
      </c>
      <c r="M261" s="13">
        <v>44887.363807870373</v>
      </c>
      <c r="N261" s="13">
        <v>44886.598321759258</v>
      </c>
      <c r="O261" t="s">
        <v>2058</v>
      </c>
      <c r="P261" t="s">
        <v>99</v>
      </c>
      <c r="Q261" t="s">
        <v>5073</v>
      </c>
      <c r="R261" t="s">
        <v>99</v>
      </c>
      <c r="S261" t="s">
        <v>5074</v>
      </c>
      <c r="T261" t="s">
        <v>1226</v>
      </c>
      <c r="U261" t="s">
        <v>1227</v>
      </c>
      <c r="V261" t="s">
        <v>99</v>
      </c>
      <c r="W261" t="s">
        <v>4496</v>
      </c>
      <c r="X261" t="s">
        <v>2059</v>
      </c>
      <c r="Y261" t="s">
        <v>5075</v>
      </c>
      <c r="Z261" t="s">
        <v>99</v>
      </c>
    </row>
    <row r="262" spans="1:26">
      <c r="A262" t="s">
        <v>5076</v>
      </c>
      <c r="B262" t="s">
        <v>222</v>
      </c>
      <c r="C262">
        <v>2017</v>
      </c>
      <c r="D262" t="s">
        <v>1889</v>
      </c>
      <c r="E262" t="s">
        <v>2025</v>
      </c>
      <c r="F262" t="s">
        <v>1891</v>
      </c>
      <c r="G262" t="s">
        <v>2026</v>
      </c>
      <c r="H262" t="s">
        <v>99</v>
      </c>
      <c r="I262" t="s">
        <v>99</v>
      </c>
      <c r="J262" t="s">
        <v>2027</v>
      </c>
      <c r="K262" t="s">
        <v>156</v>
      </c>
      <c r="L262" s="13">
        <v>44887.363807870373</v>
      </c>
      <c r="M262" s="13">
        <v>44887.363807870373</v>
      </c>
      <c r="N262" s="13">
        <v>44886.598368055558</v>
      </c>
      <c r="O262" t="s">
        <v>2028</v>
      </c>
      <c r="P262" t="s">
        <v>99</v>
      </c>
      <c r="Q262" t="s">
        <v>99</v>
      </c>
      <c r="R262" t="s">
        <v>99</v>
      </c>
      <c r="S262" t="s">
        <v>99</v>
      </c>
      <c r="T262" t="s">
        <v>1618</v>
      </c>
      <c r="U262" t="s">
        <v>1619</v>
      </c>
      <c r="V262" t="s">
        <v>4495</v>
      </c>
      <c r="W262" t="s">
        <v>4496</v>
      </c>
      <c r="X262" t="s">
        <v>2029</v>
      </c>
      <c r="Y262" t="s">
        <v>5077</v>
      </c>
      <c r="Z262" t="s">
        <v>99</v>
      </c>
    </row>
    <row r="263" spans="1:26">
      <c r="A263" t="s">
        <v>5078</v>
      </c>
      <c r="B263" t="s">
        <v>222</v>
      </c>
      <c r="C263">
        <v>2014</v>
      </c>
      <c r="D263" t="s">
        <v>1997</v>
      </c>
      <c r="E263" t="s">
        <v>1998</v>
      </c>
      <c r="F263" t="s">
        <v>1999</v>
      </c>
      <c r="G263" t="s">
        <v>2000</v>
      </c>
      <c r="H263" t="s">
        <v>99</v>
      </c>
      <c r="I263" t="s">
        <v>99</v>
      </c>
      <c r="J263" t="s">
        <v>2001</v>
      </c>
      <c r="K263" t="s">
        <v>400</v>
      </c>
      <c r="L263" s="13">
        <v>44887.363807870373</v>
      </c>
      <c r="M263" s="13">
        <v>44887.363807870373</v>
      </c>
      <c r="N263" s="13">
        <v>44886.598379629628</v>
      </c>
      <c r="O263" t="s">
        <v>2002</v>
      </c>
      <c r="P263" t="s">
        <v>99</v>
      </c>
      <c r="Q263" t="s">
        <v>5079</v>
      </c>
      <c r="R263" t="s">
        <v>99</v>
      </c>
      <c r="S263" t="s">
        <v>5080</v>
      </c>
      <c r="T263" t="s">
        <v>1226</v>
      </c>
      <c r="U263" t="s">
        <v>1227</v>
      </c>
      <c r="V263" t="s">
        <v>99</v>
      </c>
      <c r="W263" t="s">
        <v>4496</v>
      </c>
      <c r="X263" t="s">
        <v>2003</v>
      </c>
      <c r="Y263" t="s">
        <v>5081</v>
      </c>
      <c r="Z263" t="s">
        <v>4568</v>
      </c>
    </row>
    <row r="264" spans="1:26">
      <c r="A264" t="s">
        <v>5082</v>
      </c>
      <c r="B264" t="s">
        <v>135</v>
      </c>
      <c r="C264">
        <v>2021</v>
      </c>
      <c r="D264" t="s">
        <v>1978</v>
      </c>
      <c r="E264" t="s">
        <v>1979</v>
      </c>
      <c r="F264" t="s">
        <v>1312</v>
      </c>
      <c r="G264" t="s">
        <v>99</v>
      </c>
      <c r="H264" t="s">
        <v>1313</v>
      </c>
      <c r="I264" t="s">
        <v>1980</v>
      </c>
      <c r="J264" t="s">
        <v>1981</v>
      </c>
      <c r="K264" t="s">
        <v>1982</v>
      </c>
      <c r="L264" s="13">
        <v>44887.363807870373</v>
      </c>
      <c r="M264" s="13">
        <v>44887.363807870373</v>
      </c>
      <c r="N264" s="13">
        <v>44886.598402777781</v>
      </c>
      <c r="O264" t="s">
        <v>1983</v>
      </c>
      <c r="P264" t="s">
        <v>500</v>
      </c>
      <c r="Q264" t="s">
        <v>4784</v>
      </c>
      <c r="R264" t="s">
        <v>4510</v>
      </c>
      <c r="S264" t="s">
        <v>99</v>
      </c>
      <c r="T264" t="s">
        <v>99</v>
      </c>
      <c r="U264" t="s">
        <v>99</v>
      </c>
      <c r="V264" t="s">
        <v>4495</v>
      </c>
      <c r="W264" t="s">
        <v>4496</v>
      </c>
      <c r="X264" t="s">
        <v>99</v>
      </c>
      <c r="Y264" t="s">
        <v>99</v>
      </c>
      <c r="Z264" t="s">
        <v>99</v>
      </c>
    </row>
    <row r="265" spans="1:26">
      <c r="A265" t="s">
        <v>5083</v>
      </c>
      <c r="B265" t="s">
        <v>222</v>
      </c>
      <c r="C265">
        <v>2011</v>
      </c>
      <c r="D265" t="s">
        <v>1972</v>
      </c>
      <c r="E265" t="s">
        <v>1973</v>
      </c>
      <c r="F265" t="s">
        <v>1501</v>
      </c>
      <c r="G265" t="s">
        <v>1974</v>
      </c>
      <c r="H265" t="s">
        <v>99</v>
      </c>
      <c r="I265" t="s">
        <v>99</v>
      </c>
      <c r="J265" t="s">
        <v>1975</v>
      </c>
      <c r="K265" t="s">
        <v>102</v>
      </c>
      <c r="L265" s="13">
        <v>44887.363807870373</v>
      </c>
      <c r="M265" s="13">
        <v>44887.363807870373</v>
      </c>
      <c r="N265" s="13">
        <v>44886.598414351851</v>
      </c>
      <c r="O265" t="s">
        <v>1976</v>
      </c>
      <c r="P265" t="s">
        <v>99</v>
      </c>
      <c r="Q265" t="s">
        <v>5084</v>
      </c>
      <c r="R265" t="s">
        <v>99</v>
      </c>
      <c r="S265" t="s">
        <v>5085</v>
      </c>
      <c r="T265" t="s">
        <v>1218</v>
      </c>
      <c r="U265" t="s">
        <v>133</v>
      </c>
      <c r="V265" t="s">
        <v>99</v>
      </c>
      <c r="W265" t="s">
        <v>4496</v>
      </c>
      <c r="X265" t="s">
        <v>1977</v>
      </c>
      <c r="Y265" t="s">
        <v>5086</v>
      </c>
      <c r="Z265" t="s">
        <v>99</v>
      </c>
    </row>
    <row r="266" spans="1:26">
      <c r="A266" t="s">
        <v>5087</v>
      </c>
      <c r="B266" t="s">
        <v>222</v>
      </c>
      <c r="C266">
        <v>2003</v>
      </c>
      <c r="D266" t="s">
        <v>1959</v>
      </c>
      <c r="E266" t="s">
        <v>1960</v>
      </c>
      <c r="F266" t="s">
        <v>1961</v>
      </c>
      <c r="G266" t="s">
        <v>1962</v>
      </c>
      <c r="H266" t="s">
        <v>99</v>
      </c>
      <c r="I266" t="s">
        <v>99</v>
      </c>
      <c r="J266" t="s">
        <v>1963</v>
      </c>
      <c r="K266" t="s">
        <v>181</v>
      </c>
      <c r="L266" s="13">
        <v>44887.363807870373</v>
      </c>
      <c r="M266" s="13">
        <v>44887.363807870373</v>
      </c>
      <c r="N266" s="13">
        <v>44886.598414351851</v>
      </c>
      <c r="O266" t="s">
        <v>1964</v>
      </c>
      <c r="P266" t="s">
        <v>99</v>
      </c>
      <c r="Q266" t="s">
        <v>5088</v>
      </c>
      <c r="R266" t="s">
        <v>99</v>
      </c>
      <c r="S266" t="s">
        <v>99</v>
      </c>
      <c r="T266" t="s">
        <v>1218</v>
      </c>
      <c r="U266" t="s">
        <v>133</v>
      </c>
      <c r="V266" t="s">
        <v>99</v>
      </c>
      <c r="W266" t="s">
        <v>4496</v>
      </c>
      <c r="X266" t="s">
        <v>1965</v>
      </c>
      <c r="Y266" t="s">
        <v>5089</v>
      </c>
      <c r="Z266" t="s">
        <v>4526</v>
      </c>
    </row>
    <row r="267" spans="1:26">
      <c r="A267" t="s">
        <v>5090</v>
      </c>
      <c r="B267" t="s">
        <v>222</v>
      </c>
      <c r="C267">
        <v>2016</v>
      </c>
      <c r="D267" t="s">
        <v>1990</v>
      </c>
      <c r="E267" t="s">
        <v>1991</v>
      </c>
      <c r="F267" t="s">
        <v>1992</v>
      </c>
      <c r="G267" t="s">
        <v>1993</v>
      </c>
      <c r="H267" t="s">
        <v>99</v>
      </c>
      <c r="I267" t="s">
        <v>99</v>
      </c>
      <c r="J267" t="s">
        <v>1994</v>
      </c>
      <c r="K267" t="s">
        <v>331</v>
      </c>
      <c r="L267" s="13">
        <v>44887.363807870373</v>
      </c>
      <c r="M267" s="13">
        <v>44887.363807870373</v>
      </c>
      <c r="N267" s="13">
        <v>44886.598391203705</v>
      </c>
      <c r="O267" t="s">
        <v>1995</v>
      </c>
      <c r="P267" t="s">
        <v>99</v>
      </c>
      <c r="Q267" t="s">
        <v>99</v>
      </c>
      <c r="R267" t="s">
        <v>99</v>
      </c>
      <c r="S267" t="s">
        <v>99</v>
      </c>
      <c r="T267" t="s">
        <v>1226</v>
      </c>
      <c r="U267" t="s">
        <v>1227</v>
      </c>
      <c r="V267" t="s">
        <v>4495</v>
      </c>
      <c r="W267" t="s">
        <v>4496</v>
      </c>
      <c r="X267" t="s">
        <v>1996</v>
      </c>
      <c r="Y267" t="s">
        <v>99</v>
      </c>
      <c r="Z267" t="s">
        <v>99</v>
      </c>
    </row>
    <row r="268" spans="1:26">
      <c r="A268" t="s">
        <v>5091</v>
      </c>
      <c r="B268" t="s">
        <v>222</v>
      </c>
      <c r="C268">
        <v>2012</v>
      </c>
      <c r="D268" t="s">
        <v>1984</v>
      </c>
      <c r="E268" t="s">
        <v>1985</v>
      </c>
      <c r="F268" t="s">
        <v>1826</v>
      </c>
      <c r="G268" t="s">
        <v>1986</v>
      </c>
      <c r="H268" t="s">
        <v>99</v>
      </c>
      <c r="I268" t="s">
        <v>99</v>
      </c>
      <c r="J268" t="s">
        <v>1987</v>
      </c>
      <c r="K268" t="s">
        <v>351</v>
      </c>
      <c r="L268" s="13">
        <v>44887.363807870373</v>
      </c>
      <c r="M268" s="13">
        <v>44887.363807870373</v>
      </c>
      <c r="N268" s="13">
        <v>44886.598391203705</v>
      </c>
      <c r="O268" t="s">
        <v>1988</v>
      </c>
      <c r="P268" t="s">
        <v>99</v>
      </c>
      <c r="Q268" t="s">
        <v>5092</v>
      </c>
      <c r="R268" t="s">
        <v>99</v>
      </c>
      <c r="S268" t="s">
        <v>5093</v>
      </c>
      <c r="T268" t="s">
        <v>1218</v>
      </c>
      <c r="U268" t="s">
        <v>133</v>
      </c>
      <c r="V268" t="s">
        <v>99</v>
      </c>
      <c r="W268" t="s">
        <v>4496</v>
      </c>
      <c r="X268" t="s">
        <v>1989</v>
      </c>
      <c r="Y268" t="s">
        <v>5094</v>
      </c>
      <c r="Z268" t="s">
        <v>4568</v>
      </c>
    </row>
    <row r="269" spans="1:26">
      <c r="A269" t="s">
        <v>5095</v>
      </c>
      <c r="B269" t="s">
        <v>222</v>
      </c>
      <c r="C269">
        <v>2015</v>
      </c>
      <c r="D269" t="s">
        <v>1605</v>
      </c>
      <c r="E269" t="s">
        <v>1966</v>
      </c>
      <c r="F269" t="s">
        <v>1967</v>
      </c>
      <c r="G269" t="s">
        <v>1968</v>
      </c>
      <c r="H269" t="s">
        <v>99</v>
      </c>
      <c r="I269" t="s">
        <v>99</v>
      </c>
      <c r="J269" t="s">
        <v>1969</v>
      </c>
      <c r="K269" t="s">
        <v>564</v>
      </c>
      <c r="L269" s="13">
        <v>44887.363807870373</v>
      </c>
      <c r="M269" s="13">
        <v>44887.363807870373</v>
      </c>
      <c r="N269" s="13">
        <v>44886.598414351851</v>
      </c>
      <c r="O269" t="s">
        <v>1970</v>
      </c>
      <c r="P269" t="s">
        <v>99</v>
      </c>
      <c r="Q269" t="s">
        <v>5096</v>
      </c>
      <c r="R269" t="s">
        <v>99</v>
      </c>
      <c r="S269" t="s">
        <v>99</v>
      </c>
      <c r="T269" t="s">
        <v>1226</v>
      </c>
      <c r="U269" t="s">
        <v>1227</v>
      </c>
      <c r="V269" t="s">
        <v>4495</v>
      </c>
      <c r="W269" t="s">
        <v>4496</v>
      </c>
      <c r="X269" t="s">
        <v>1971</v>
      </c>
      <c r="Y269" t="s">
        <v>5097</v>
      </c>
      <c r="Z269" t="s">
        <v>99</v>
      </c>
    </row>
    <row r="270" spans="1:26">
      <c r="A270" t="s">
        <v>5098</v>
      </c>
      <c r="B270" t="s">
        <v>222</v>
      </c>
      <c r="C270">
        <v>2005</v>
      </c>
      <c r="D270" t="s">
        <v>1954</v>
      </c>
      <c r="E270" t="s">
        <v>1955</v>
      </c>
      <c r="F270" t="s">
        <v>1272</v>
      </c>
      <c r="G270" t="s">
        <v>1273</v>
      </c>
      <c r="H270" t="s">
        <v>99</v>
      </c>
      <c r="I270" t="s">
        <v>99</v>
      </c>
      <c r="J270" t="s">
        <v>1956</v>
      </c>
      <c r="K270" t="s">
        <v>846</v>
      </c>
      <c r="L270" s="13">
        <v>44887.363807870373</v>
      </c>
      <c r="M270" s="13">
        <v>44887.363807870373</v>
      </c>
      <c r="N270" s="13">
        <v>44886.598425925928</v>
      </c>
      <c r="O270" t="s">
        <v>1957</v>
      </c>
      <c r="P270" t="s">
        <v>99</v>
      </c>
      <c r="Q270" t="s">
        <v>5099</v>
      </c>
      <c r="R270" t="s">
        <v>99</v>
      </c>
      <c r="S270" t="s">
        <v>99</v>
      </c>
      <c r="T270" t="s">
        <v>1218</v>
      </c>
      <c r="U270" t="s">
        <v>133</v>
      </c>
      <c r="V270" t="s">
        <v>99</v>
      </c>
      <c r="W270" t="s">
        <v>4496</v>
      </c>
      <c r="X270" t="s">
        <v>1958</v>
      </c>
      <c r="Y270" t="s">
        <v>5100</v>
      </c>
      <c r="Z270" t="s">
        <v>4556</v>
      </c>
    </row>
    <row r="271" spans="1:26">
      <c r="A271" t="s">
        <v>5101</v>
      </c>
      <c r="B271" t="s">
        <v>222</v>
      </c>
      <c r="C271">
        <v>2013</v>
      </c>
      <c r="D271" t="s">
        <v>1930</v>
      </c>
      <c r="E271" t="s">
        <v>1931</v>
      </c>
      <c r="F271" t="s">
        <v>1932</v>
      </c>
      <c r="G271" t="s">
        <v>1933</v>
      </c>
      <c r="H271" t="s">
        <v>99</v>
      </c>
      <c r="I271" t="s">
        <v>99</v>
      </c>
      <c r="J271" t="s">
        <v>1934</v>
      </c>
      <c r="K271" t="s">
        <v>139</v>
      </c>
      <c r="L271" s="13">
        <v>44887.363807870373</v>
      </c>
      <c r="M271" s="13">
        <v>44887.363807870373</v>
      </c>
      <c r="N271" s="13">
        <v>44886.59847222222</v>
      </c>
      <c r="O271" t="s">
        <v>1935</v>
      </c>
      <c r="P271" t="s">
        <v>99</v>
      </c>
      <c r="Q271" t="s">
        <v>4533</v>
      </c>
      <c r="R271" t="s">
        <v>99</v>
      </c>
      <c r="S271" t="s">
        <v>99</v>
      </c>
      <c r="T271" t="s">
        <v>1936</v>
      </c>
      <c r="U271" t="s">
        <v>1937</v>
      </c>
      <c r="V271" t="s">
        <v>99</v>
      </c>
      <c r="W271" t="s">
        <v>4496</v>
      </c>
      <c r="X271" t="s">
        <v>1938</v>
      </c>
      <c r="Y271" t="s">
        <v>5102</v>
      </c>
      <c r="Z271" t="s">
        <v>99</v>
      </c>
    </row>
    <row r="272" spans="1:26">
      <c r="A272" t="s">
        <v>5103</v>
      </c>
      <c r="B272" t="s">
        <v>222</v>
      </c>
      <c r="C272">
        <v>2022</v>
      </c>
      <c r="D272" t="s">
        <v>1908</v>
      </c>
      <c r="E272" t="s">
        <v>1909</v>
      </c>
      <c r="F272" t="s">
        <v>1910</v>
      </c>
      <c r="G272" t="s">
        <v>1911</v>
      </c>
      <c r="H272" t="s">
        <v>99</v>
      </c>
      <c r="I272" t="s">
        <v>99</v>
      </c>
      <c r="J272" t="s">
        <v>1912</v>
      </c>
      <c r="K272" t="s">
        <v>123</v>
      </c>
      <c r="L272" s="13">
        <v>44887.363807870373</v>
      </c>
      <c r="M272" s="13">
        <v>44887.363807870373</v>
      </c>
      <c r="N272" s="13">
        <v>44886.598449074074</v>
      </c>
      <c r="O272" t="s">
        <v>1913</v>
      </c>
      <c r="P272" t="s">
        <v>99</v>
      </c>
      <c r="Q272" t="s">
        <v>99</v>
      </c>
      <c r="R272" t="s">
        <v>99</v>
      </c>
      <c r="S272" t="s">
        <v>99</v>
      </c>
      <c r="T272" t="s">
        <v>1226</v>
      </c>
      <c r="U272" t="s">
        <v>1227</v>
      </c>
      <c r="V272" t="s">
        <v>4495</v>
      </c>
      <c r="W272" t="s">
        <v>4496</v>
      </c>
      <c r="X272" t="s">
        <v>1914</v>
      </c>
      <c r="Y272" t="s">
        <v>99</v>
      </c>
      <c r="Z272" t="s">
        <v>99</v>
      </c>
    </row>
    <row r="273" spans="1:26">
      <c r="A273" t="s">
        <v>5104</v>
      </c>
      <c r="B273" t="s">
        <v>222</v>
      </c>
      <c r="C273">
        <v>2018</v>
      </c>
      <c r="D273" t="s">
        <v>1947</v>
      </c>
      <c r="E273" t="s">
        <v>1948</v>
      </c>
      <c r="F273" t="s">
        <v>1949</v>
      </c>
      <c r="G273" t="s">
        <v>1950</v>
      </c>
      <c r="H273" t="s">
        <v>99</v>
      </c>
      <c r="I273" t="s">
        <v>99</v>
      </c>
      <c r="J273" t="s">
        <v>1951</v>
      </c>
      <c r="K273" t="s">
        <v>384</v>
      </c>
      <c r="L273" s="13">
        <v>44887.363807870373</v>
      </c>
      <c r="M273" s="13">
        <v>44887.363807870373</v>
      </c>
      <c r="N273" s="13">
        <v>44886.598449074074</v>
      </c>
      <c r="O273" t="s">
        <v>1952</v>
      </c>
      <c r="P273" t="s">
        <v>99</v>
      </c>
      <c r="Q273" t="s">
        <v>4767</v>
      </c>
      <c r="R273" t="s">
        <v>99</v>
      </c>
      <c r="S273" t="s">
        <v>99</v>
      </c>
      <c r="T273" t="s">
        <v>1226</v>
      </c>
      <c r="U273" t="s">
        <v>1227</v>
      </c>
      <c r="V273" t="s">
        <v>99</v>
      </c>
      <c r="W273" t="s">
        <v>4496</v>
      </c>
      <c r="X273" t="s">
        <v>1953</v>
      </c>
      <c r="Y273" t="s">
        <v>5105</v>
      </c>
      <c r="Z273" t="s">
        <v>99</v>
      </c>
    </row>
    <row r="274" spans="1:26">
      <c r="A274" t="s">
        <v>5106</v>
      </c>
      <c r="B274" t="s">
        <v>222</v>
      </c>
      <c r="C274">
        <v>2006</v>
      </c>
      <c r="D274" t="s">
        <v>1923</v>
      </c>
      <c r="E274" t="s">
        <v>1924</v>
      </c>
      <c r="F274" t="s">
        <v>1925</v>
      </c>
      <c r="G274" t="s">
        <v>1926</v>
      </c>
      <c r="H274" t="s">
        <v>99</v>
      </c>
      <c r="I274" t="s">
        <v>99</v>
      </c>
      <c r="J274" t="s">
        <v>1927</v>
      </c>
      <c r="K274" t="s">
        <v>279</v>
      </c>
      <c r="L274" s="13">
        <v>44887.363807870373</v>
      </c>
      <c r="M274" s="13">
        <v>44887.363807870373</v>
      </c>
      <c r="N274" s="13">
        <v>44886.59847222222</v>
      </c>
      <c r="O274" t="s">
        <v>1928</v>
      </c>
      <c r="P274" t="s">
        <v>99</v>
      </c>
      <c r="Q274" t="s">
        <v>5107</v>
      </c>
      <c r="R274" t="s">
        <v>99</v>
      </c>
      <c r="S274" t="s">
        <v>99</v>
      </c>
      <c r="T274" t="s">
        <v>1331</v>
      </c>
      <c r="U274" t="s">
        <v>1332</v>
      </c>
      <c r="V274" t="s">
        <v>4495</v>
      </c>
      <c r="W274" t="s">
        <v>4496</v>
      </c>
      <c r="X274" t="s">
        <v>1929</v>
      </c>
      <c r="Y274" t="s">
        <v>5108</v>
      </c>
      <c r="Z274" t="s">
        <v>99</v>
      </c>
    </row>
    <row r="275" spans="1:26">
      <c r="A275" t="s">
        <v>5109</v>
      </c>
      <c r="B275" t="s">
        <v>222</v>
      </c>
      <c r="C275">
        <v>2016</v>
      </c>
      <c r="D275" t="s">
        <v>1889</v>
      </c>
      <c r="E275" t="s">
        <v>1890</v>
      </c>
      <c r="F275" t="s">
        <v>1891</v>
      </c>
      <c r="G275" t="s">
        <v>1892</v>
      </c>
      <c r="H275" t="s">
        <v>99</v>
      </c>
      <c r="I275" t="s">
        <v>99</v>
      </c>
      <c r="J275" t="s">
        <v>1893</v>
      </c>
      <c r="K275" t="s">
        <v>331</v>
      </c>
      <c r="L275" s="13">
        <v>44887.363807870373</v>
      </c>
      <c r="M275" s="13">
        <v>44887.363807870373</v>
      </c>
      <c r="N275" s="13">
        <v>44886.598414351851</v>
      </c>
      <c r="O275" t="s">
        <v>1894</v>
      </c>
      <c r="P275" t="s">
        <v>99</v>
      </c>
      <c r="Q275" t="s">
        <v>99</v>
      </c>
      <c r="R275" t="s">
        <v>99</v>
      </c>
      <c r="S275" t="s">
        <v>99</v>
      </c>
      <c r="T275" t="s">
        <v>1618</v>
      </c>
      <c r="U275" t="s">
        <v>1619</v>
      </c>
      <c r="V275" t="s">
        <v>4495</v>
      </c>
      <c r="W275" t="s">
        <v>4496</v>
      </c>
      <c r="X275" t="s">
        <v>1895</v>
      </c>
      <c r="Y275" t="s">
        <v>5077</v>
      </c>
      <c r="Z275" t="s">
        <v>99</v>
      </c>
    </row>
    <row r="276" spans="1:26">
      <c r="A276" t="s">
        <v>5110</v>
      </c>
      <c r="B276" t="s">
        <v>222</v>
      </c>
      <c r="C276">
        <v>2013</v>
      </c>
      <c r="D276" t="s">
        <v>1853</v>
      </c>
      <c r="E276" t="s">
        <v>1854</v>
      </c>
      <c r="F276" t="s">
        <v>1855</v>
      </c>
      <c r="G276" t="s">
        <v>1856</v>
      </c>
      <c r="H276" t="s">
        <v>99</v>
      </c>
      <c r="I276" t="s">
        <v>99</v>
      </c>
      <c r="J276" t="s">
        <v>1857</v>
      </c>
      <c r="K276" t="s">
        <v>139</v>
      </c>
      <c r="L276" s="13">
        <v>44887.363807870373</v>
      </c>
      <c r="M276" s="13">
        <v>44887.363807870373</v>
      </c>
      <c r="N276" s="13">
        <v>44886.598379629628</v>
      </c>
      <c r="O276" t="s">
        <v>1858</v>
      </c>
      <c r="P276" t="s">
        <v>99</v>
      </c>
      <c r="Q276" t="s">
        <v>5111</v>
      </c>
      <c r="R276" t="s">
        <v>99</v>
      </c>
      <c r="S276" t="s">
        <v>99</v>
      </c>
      <c r="T276" t="s">
        <v>1218</v>
      </c>
      <c r="U276" t="s">
        <v>133</v>
      </c>
      <c r="V276" t="s">
        <v>99</v>
      </c>
      <c r="W276" t="s">
        <v>4496</v>
      </c>
      <c r="X276" t="s">
        <v>1859</v>
      </c>
      <c r="Y276" t="s">
        <v>5112</v>
      </c>
      <c r="Z276" t="s">
        <v>99</v>
      </c>
    </row>
    <row r="277" spans="1:26">
      <c r="A277" t="s">
        <v>5113</v>
      </c>
      <c r="B277" t="s">
        <v>222</v>
      </c>
      <c r="C277">
        <v>2008</v>
      </c>
      <c r="D277" t="s">
        <v>1903</v>
      </c>
      <c r="E277" t="s">
        <v>1904</v>
      </c>
      <c r="F277" t="s">
        <v>1812</v>
      </c>
      <c r="G277" t="s">
        <v>1813</v>
      </c>
      <c r="H277" t="s">
        <v>99</v>
      </c>
      <c r="I277" t="s">
        <v>99</v>
      </c>
      <c r="J277" t="s">
        <v>1905</v>
      </c>
      <c r="K277" t="s">
        <v>736</v>
      </c>
      <c r="L277" s="13">
        <v>44887.363807870373</v>
      </c>
      <c r="M277" s="13">
        <v>44887.363807870373</v>
      </c>
      <c r="N277" s="13">
        <v>44886.598425925928</v>
      </c>
      <c r="O277" t="s">
        <v>1906</v>
      </c>
      <c r="P277" t="s">
        <v>99</v>
      </c>
      <c r="Q277" t="s">
        <v>5114</v>
      </c>
      <c r="R277" t="s">
        <v>99</v>
      </c>
      <c r="S277" t="s">
        <v>99</v>
      </c>
      <c r="T277" t="s">
        <v>1218</v>
      </c>
      <c r="U277" t="s">
        <v>133</v>
      </c>
      <c r="V277" t="s">
        <v>4495</v>
      </c>
      <c r="W277" t="s">
        <v>4496</v>
      </c>
      <c r="X277" t="s">
        <v>1907</v>
      </c>
      <c r="Y277" t="s">
        <v>5115</v>
      </c>
      <c r="Z277" t="s">
        <v>99</v>
      </c>
    </row>
    <row r="278" spans="1:26">
      <c r="A278" t="s">
        <v>5116</v>
      </c>
      <c r="B278" t="s">
        <v>222</v>
      </c>
      <c r="C278">
        <v>2020</v>
      </c>
      <c r="D278" t="s">
        <v>1896</v>
      </c>
      <c r="E278" t="s">
        <v>1897</v>
      </c>
      <c r="F278" t="s">
        <v>1898</v>
      </c>
      <c r="G278" t="s">
        <v>1899</v>
      </c>
      <c r="H278" t="s">
        <v>99</v>
      </c>
      <c r="I278" t="s">
        <v>99</v>
      </c>
      <c r="J278" t="s">
        <v>1900</v>
      </c>
      <c r="K278" t="s">
        <v>176</v>
      </c>
      <c r="L278" s="13">
        <v>44887.363807870373</v>
      </c>
      <c r="M278" s="13">
        <v>44887.363807870373</v>
      </c>
      <c r="N278" s="13">
        <v>44886.598414351851</v>
      </c>
      <c r="O278" t="s">
        <v>1901</v>
      </c>
      <c r="P278" t="s">
        <v>99</v>
      </c>
      <c r="Q278" t="s">
        <v>5117</v>
      </c>
      <c r="R278" t="s">
        <v>99</v>
      </c>
      <c r="S278" t="s">
        <v>5118</v>
      </c>
      <c r="T278" t="s">
        <v>1226</v>
      </c>
      <c r="U278" t="s">
        <v>1227</v>
      </c>
      <c r="V278" t="s">
        <v>4495</v>
      </c>
      <c r="W278" t="s">
        <v>4496</v>
      </c>
      <c r="X278" t="s">
        <v>1902</v>
      </c>
      <c r="Y278" t="s">
        <v>5119</v>
      </c>
      <c r="Z278" t="s">
        <v>99</v>
      </c>
    </row>
    <row r="279" spans="1:26">
      <c r="A279" t="s">
        <v>5120</v>
      </c>
      <c r="B279" t="s">
        <v>222</v>
      </c>
      <c r="C279">
        <v>2010</v>
      </c>
      <c r="D279" t="s">
        <v>1867</v>
      </c>
      <c r="E279" t="s">
        <v>1868</v>
      </c>
      <c r="F279" t="s">
        <v>1869</v>
      </c>
      <c r="G279" t="s">
        <v>1870</v>
      </c>
      <c r="H279" t="s">
        <v>99</v>
      </c>
      <c r="I279" t="s">
        <v>99</v>
      </c>
      <c r="J279" t="s">
        <v>1871</v>
      </c>
      <c r="K279" t="s">
        <v>130</v>
      </c>
      <c r="L279" s="13">
        <v>44887.363807870373</v>
      </c>
      <c r="M279" s="13">
        <v>44887.363807870373</v>
      </c>
      <c r="N279" s="13">
        <v>44886.598391203705</v>
      </c>
      <c r="O279" t="s">
        <v>1872</v>
      </c>
      <c r="P279" t="s">
        <v>99</v>
      </c>
      <c r="Q279" t="s">
        <v>5121</v>
      </c>
      <c r="R279" t="s">
        <v>99</v>
      </c>
      <c r="S279" t="s">
        <v>5122</v>
      </c>
      <c r="T279" t="s">
        <v>1218</v>
      </c>
      <c r="U279" t="s">
        <v>133</v>
      </c>
      <c r="V279" t="s">
        <v>99</v>
      </c>
      <c r="W279" t="s">
        <v>4496</v>
      </c>
      <c r="X279" t="s">
        <v>1873</v>
      </c>
      <c r="Y279" t="s">
        <v>5123</v>
      </c>
      <c r="Z279" t="s">
        <v>4568</v>
      </c>
    </row>
    <row r="280" spans="1:26">
      <c r="A280" t="s">
        <v>5124</v>
      </c>
      <c r="B280" t="s">
        <v>222</v>
      </c>
      <c r="C280">
        <v>2019</v>
      </c>
      <c r="D280" t="s">
        <v>1860</v>
      </c>
      <c r="E280" t="s">
        <v>1861</v>
      </c>
      <c r="F280" t="s">
        <v>1862</v>
      </c>
      <c r="G280" t="s">
        <v>1863</v>
      </c>
      <c r="H280" t="s">
        <v>99</v>
      </c>
      <c r="I280" t="s">
        <v>99</v>
      </c>
      <c r="J280" t="s">
        <v>1864</v>
      </c>
      <c r="K280" t="s">
        <v>271</v>
      </c>
      <c r="L280" s="13">
        <v>44887.363807870373</v>
      </c>
      <c r="M280" s="13">
        <v>44887.363807870373</v>
      </c>
      <c r="N280" s="13">
        <v>44886.598379629628</v>
      </c>
      <c r="O280" t="s">
        <v>1865</v>
      </c>
      <c r="P280" t="s">
        <v>99</v>
      </c>
      <c r="Q280" t="s">
        <v>4957</v>
      </c>
      <c r="R280" t="s">
        <v>99</v>
      </c>
      <c r="S280" t="s">
        <v>99</v>
      </c>
      <c r="T280" t="s">
        <v>1226</v>
      </c>
      <c r="U280" t="s">
        <v>1227</v>
      </c>
      <c r="V280" t="s">
        <v>99</v>
      </c>
      <c r="W280" t="s">
        <v>4496</v>
      </c>
      <c r="X280" t="s">
        <v>1866</v>
      </c>
      <c r="Y280" t="s">
        <v>5125</v>
      </c>
      <c r="Z280" t="s">
        <v>99</v>
      </c>
    </row>
    <row r="281" spans="1:26">
      <c r="A281" t="s">
        <v>5126</v>
      </c>
      <c r="B281" t="s">
        <v>135</v>
      </c>
      <c r="C281">
        <v>1992</v>
      </c>
      <c r="D281" t="s">
        <v>1837</v>
      </c>
      <c r="E281" t="s">
        <v>1838</v>
      </c>
      <c r="F281" t="s">
        <v>1839</v>
      </c>
      <c r="G281" t="s">
        <v>99</v>
      </c>
      <c r="H281" t="s">
        <v>1840</v>
      </c>
      <c r="I281" t="s">
        <v>1841</v>
      </c>
      <c r="J281" t="s">
        <v>1842</v>
      </c>
      <c r="K281" t="s">
        <v>1843</v>
      </c>
      <c r="L281" s="13">
        <v>44887.363807870373</v>
      </c>
      <c r="M281" s="13">
        <v>44887.363807870373</v>
      </c>
      <c r="N281" s="13">
        <v>44886.598368055558</v>
      </c>
      <c r="O281" t="s">
        <v>1844</v>
      </c>
      <c r="P281" t="s">
        <v>1845</v>
      </c>
      <c r="Q281" t="s">
        <v>5127</v>
      </c>
      <c r="R281" t="s">
        <v>1839</v>
      </c>
      <c r="S281" t="s">
        <v>99</v>
      </c>
      <c r="T281" t="s">
        <v>99</v>
      </c>
      <c r="U281" t="s">
        <v>99</v>
      </c>
      <c r="V281" t="s">
        <v>4495</v>
      </c>
      <c r="W281" t="s">
        <v>4496</v>
      </c>
      <c r="X281" t="s">
        <v>99</v>
      </c>
      <c r="Y281" t="s">
        <v>99</v>
      </c>
      <c r="Z281" t="s">
        <v>99</v>
      </c>
    </row>
    <row r="282" spans="1:26">
      <c r="A282" t="s">
        <v>5128</v>
      </c>
      <c r="B282" t="s">
        <v>135</v>
      </c>
      <c r="C282">
        <v>2012</v>
      </c>
      <c r="D282" t="s">
        <v>1831</v>
      </c>
      <c r="E282" t="s">
        <v>1832</v>
      </c>
      <c r="F282" t="s">
        <v>1607</v>
      </c>
      <c r="G282" t="s">
        <v>99</v>
      </c>
      <c r="H282" t="s">
        <v>1266</v>
      </c>
      <c r="I282" t="s">
        <v>1833</v>
      </c>
      <c r="J282" t="s">
        <v>1834</v>
      </c>
      <c r="K282" t="s">
        <v>1835</v>
      </c>
      <c r="L282" s="13">
        <v>44887.363807870373</v>
      </c>
      <c r="M282" s="13">
        <v>44887.363807870373</v>
      </c>
      <c r="N282" s="13">
        <v>44886.598333333335</v>
      </c>
      <c r="O282" t="s">
        <v>1836</v>
      </c>
      <c r="P282" t="s">
        <v>363</v>
      </c>
      <c r="Q282" t="s">
        <v>236</v>
      </c>
      <c r="R282" t="s">
        <v>4513</v>
      </c>
      <c r="S282" t="s">
        <v>99</v>
      </c>
      <c r="T282" t="s">
        <v>99</v>
      </c>
      <c r="U282" t="s">
        <v>99</v>
      </c>
      <c r="V282" t="s">
        <v>4495</v>
      </c>
      <c r="W282" t="s">
        <v>4496</v>
      </c>
      <c r="X282" t="s">
        <v>99</v>
      </c>
      <c r="Y282" t="s">
        <v>99</v>
      </c>
      <c r="Z282" t="s">
        <v>99</v>
      </c>
    </row>
    <row r="283" spans="1:26">
      <c r="A283" t="s">
        <v>5129</v>
      </c>
      <c r="B283" t="s">
        <v>222</v>
      </c>
      <c r="C283">
        <v>2021</v>
      </c>
      <c r="D283" t="s">
        <v>1846</v>
      </c>
      <c r="E283" t="s">
        <v>1847</v>
      </c>
      <c r="F283" t="s">
        <v>1848</v>
      </c>
      <c r="G283" t="s">
        <v>1849</v>
      </c>
      <c r="H283" t="s">
        <v>99</v>
      </c>
      <c r="I283" t="s">
        <v>99</v>
      </c>
      <c r="J283" t="s">
        <v>1850</v>
      </c>
      <c r="K283" t="s">
        <v>113</v>
      </c>
      <c r="L283" s="13">
        <v>44887.363807870373</v>
      </c>
      <c r="M283" s="13">
        <v>44887.363807870373</v>
      </c>
      <c r="N283" s="13">
        <v>44886.598368055558</v>
      </c>
      <c r="O283" t="s">
        <v>1851</v>
      </c>
      <c r="P283" t="s">
        <v>99</v>
      </c>
      <c r="Q283" t="s">
        <v>5130</v>
      </c>
      <c r="R283" t="s">
        <v>99</v>
      </c>
      <c r="S283" t="s">
        <v>99</v>
      </c>
      <c r="T283" t="s">
        <v>1226</v>
      </c>
      <c r="U283" t="s">
        <v>1227</v>
      </c>
      <c r="V283" t="s">
        <v>4495</v>
      </c>
      <c r="W283" t="s">
        <v>4496</v>
      </c>
      <c r="X283" t="s">
        <v>1852</v>
      </c>
      <c r="Y283" t="s">
        <v>5131</v>
      </c>
      <c r="Z283" t="s">
        <v>99</v>
      </c>
    </row>
    <row r="284" spans="1:26">
      <c r="A284" t="s">
        <v>5132</v>
      </c>
      <c r="B284" t="s">
        <v>222</v>
      </c>
      <c r="C284">
        <v>2013</v>
      </c>
      <c r="D284" t="s">
        <v>1824</v>
      </c>
      <c r="E284" t="s">
        <v>1825</v>
      </c>
      <c r="F284" t="s">
        <v>1826</v>
      </c>
      <c r="G284" t="s">
        <v>1827</v>
      </c>
      <c r="H284" t="s">
        <v>99</v>
      </c>
      <c r="I284" t="s">
        <v>99</v>
      </c>
      <c r="J284" t="s">
        <v>1828</v>
      </c>
      <c r="K284" t="s">
        <v>139</v>
      </c>
      <c r="L284" s="13">
        <v>44887.363807870373</v>
      </c>
      <c r="M284" s="13">
        <v>44887.363807870373</v>
      </c>
      <c r="N284" s="13">
        <v>44886.598333333335</v>
      </c>
      <c r="O284" t="s">
        <v>1829</v>
      </c>
      <c r="P284" t="s">
        <v>99</v>
      </c>
      <c r="Q284" t="s">
        <v>5133</v>
      </c>
      <c r="R284" t="s">
        <v>99</v>
      </c>
      <c r="S284" t="s">
        <v>99</v>
      </c>
      <c r="T284" t="s">
        <v>1218</v>
      </c>
      <c r="U284" t="s">
        <v>133</v>
      </c>
      <c r="V284" t="s">
        <v>4495</v>
      </c>
      <c r="W284" t="s">
        <v>4496</v>
      </c>
      <c r="X284" t="s">
        <v>1830</v>
      </c>
      <c r="Y284" t="s">
        <v>5134</v>
      </c>
      <c r="Z284" t="s">
        <v>4568</v>
      </c>
    </row>
    <row r="285" spans="1:26">
      <c r="A285" t="s">
        <v>5135</v>
      </c>
      <c r="B285" t="s">
        <v>135</v>
      </c>
      <c r="C285">
        <v>2020</v>
      </c>
      <c r="D285" t="s">
        <v>1817</v>
      </c>
      <c r="E285" t="s">
        <v>1818</v>
      </c>
      <c r="F285" t="s">
        <v>1819</v>
      </c>
      <c r="G285" t="s">
        <v>99</v>
      </c>
      <c r="H285" t="s">
        <v>1820</v>
      </c>
      <c r="I285" t="s">
        <v>1821</v>
      </c>
      <c r="J285" t="s">
        <v>1822</v>
      </c>
      <c r="K285" t="s">
        <v>1295</v>
      </c>
      <c r="L285" s="13">
        <v>44887.363807870373</v>
      </c>
      <c r="M285" s="13">
        <v>44887.363807870373</v>
      </c>
      <c r="N285" s="13">
        <v>44886.598321759258</v>
      </c>
      <c r="O285" t="s">
        <v>1823</v>
      </c>
      <c r="P285" t="s">
        <v>182</v>
      </c>
      <c r="Q285" t="s">
        <v>251</v>
      </c>
      <c r="R285" t="s">
        <v>5136</v>
      </c>
      <c r="S285" t="s">
        <v>99</v>
      </c>
      <c r="T285" t="s">
        <v>99</v>
      </c>
      <c r="U285" t="s">
        <v>99</v>
      </c>
      <c r="V285" t="s">
        <v>4495</v>
      </c>
      <c r="W285" t="s">
        <v>4496</v>
      </c>
      <c r="X285" t="s">
        <v>99</v>
      </c>
      <c r="Y285" t="s">
        <v>99</v>
      </c>
      <c r="Z285" t="s">
        <v>99</v>
      </c>
    </row>
    <row r="286" spans="1:26">
      <c r="A286" t="s">
        <v>5137</v>
      </c>
      <c r="B286" t="s">
        <v>222</v>
      </c>
      <c r="C286">
        <v>2008</v>
      </c>
      <c r="D286" t="s">
        <v>1810</v>
      </c>
      <c r="E286" t="s">
        <v>1811</v>
      </c>
      <c r="F286" t="s">
        <v>1812</v>
      </c>
      <c r="G286" t="s">
        <v>1813</v>
      </c>
      <c r="H286" t="s">
        <v>99</v>
      </c>
      <c r="I286" t="s">
        <v>99</v>
      </c>
      <c r="J286" t="s">
        <v>1814</v>
      </c>
      <c r="K286" t="s">
        <v>736</v>
      </c>
      <c r="L286" s="13">
        <v>44887.363807870373</v>
      </c>
      <c r="M286" s="13">
        <v>44887.363807870373</v>
      </c>
      <c r="N286" s="13">
        <v>44886.598321759258</v>
      </c>
      <c r="O286" t="s">
        <v>1815</v>
      </c>
      <c r="P286" t="s">
        <v>99</v>
      </c>
      <c r="Q286" t="s">
        <v>5114</v>
      </c>
      <c r="R286" t="s">
        <v>99</v>
      </c>
      <c r="S286" t="s">
        <v>99</v>
      </c>
      <c r="T286" t="s">
        <v>1218</v>
      </c>
      <c r="U286" t="s">
        <v>133</v>
      </c>
      <c r="V286" t="s">
        <v>4495</v>
      </c>
      <c r="W286" t="s">
        <v>4496</v>
      </c>
      <c r="X286" t="s">
        <v>1816</v>
      </c>
      <c r="Y286" t="s">
        <v>5115</v>
      </c>
      <c r="Z286" t="s">
        <v>99</v>
      </c>
    </row>
    <row r="287" spans="1:26">
      <c r="A287" t="s">
        <v>5138</v>
      </c>
      <c r="B287" t="s">
        <v>222</v>
      </c>
      <c r="C287">
        <v>2021</v>
      </c>
      <c r="D287" t="s">
        <v>1803</v>
      </c>
      <c r="E287" t="s">
        <v>1804</v>
      </c>
      <c r="F287" t="s">
        <v>1805</v>
      </c>
      <c r="G287" t="s">
        <v>1806</v>
      </c>
      <c r="H287" t="s">
        <v>99</v>
      </c>
      <c r="I287" t="s">
        <v>99</v>
      </c>
      <c r="J287" t="s">
        <v>1807</v>
      </c>
      <c r="K287" t="s">
        <v>113</v>
      </c>
      <c r="L287" s="13">
        <v>44887.363807870373</v>
      </c>
      <c r="M287" s="13">
        <v>44887.363807870373</v>
      </c>
      <c r="N287" s="13">
        <v>44886.598310185182</v>
      </c>
      <c r="O287" t="s">
        <v>1808</v>
      </c>
      <c r="P287" t="s">
        <v>99</v>
      </c>
      <c r="Q287" t="s">
        <v>5139</v>
      </c>
      <c r="R287" t="s">
        <v>99</v>
      </c>
      <c r="S287" t="s">
        <v>99</v>
      </c>
      <c r="T287" t="s">
        <v>1226</v>
      </c>
      <c r="U287" t="s">
        <v>1227</v>
      </c>
      <c r="V287" t="s">
        <v>4495</v>
      </c>
      <c r="W287" t="s">
        <v>4496</v>
      </c>
      <c r="X287" t="s">
        <v>1809</v>
      </c>
      <c r="Y287" t="s">
        <v>4981</v>
      </c>
      <c r="Z287" t="s">
        <v>99</v>
      </c>
    </row>
    <row r="288" spans="1:26">
      <c r="A288" t="s">
        <v>5140</v>
      </c>
      <c r="B288" t="s">
        <v>706</v>
      </c>
      <c r="C288">
        <v>2000</v>
      </c>
      <c r="D288" t="s">
        <v>1797</v>
      </c>
      <c r="E288" t="s">
        <v>1798</v>
      </c>
      <c r="F288" t="s">
        <v>99</v>
      </c>
      <c r="G288" t="s">
        <v>1799</v>
      </c>
      <c r="H288" t="s">
        <v>99</v>
      </c>
      <c r="I288" t="s">
        <v>99</v>
      </c>
      <c r="J288" t="s">
        <v>1800</v>
      </c>
      <c r="K288" t="s">
        <v>1801</v>
      </c>
      <c r="L288" s="13">
        <v>44887.363807870373</v>
      </c>
      <c r="M288" s="13">
        <v>44887.363807870373</v>
      </c>
      <c r="N288" s="13">
        <v>44886.598298611112</v>
      </c>
      <c r="O288" t="s">
        <v>99</v>
      </c>
      <c r="P288" t="s">
        <v>99</v>
      </c>
      <c r="Q288" t="s">
        <v>99</v>
      </c>
      <c r="R288" t="s">
        <v>99</v>
      </c>
      <c r="S288" t="s">
        <v>99</v>
      </c>
      <c r="T288" t="s">
        <v>1331</v>
      </c>
      <c r="U288" t="s">
        <v>1332</v>
      </c>
      <c r="V288" t="s">
        <v>99</v>
      </c>
      <c r="W288" t="s">
        <v>4496</v>
      </c>
      <c r="X288" t="s">
        <v>1802</v>
      </c>
      <c r="Y288" t="s">
        <v>99</v>
      </c>
      <c r="Z288" t="s">
        <v>99</v>
      </c>
    </row>
    <row r="289" spans="1:26">
      <c r="A289" t="s">
        <v>5141</v>
      </c>
      <c r="B289" t="s">
        <v>135</v>
      </c>
      <c r="C289">
        <v>2015</v>
      </c>
      <c r="D289" t="s">
        <v>1781</v>
      </c>
      <c r="E289" t="s">
        <v>1782</v>
      </c>
      <c r="F289" t="s">
        <v>1783</v>
      </c>
      <c r="G289" t="s">
        <v>99</v>
      </c>
      <c r="H289" t="s">
        <v>1784</v>
      </c>
      <c r="I289" t="s">
        <v>1785</v>
      </c>
      <c r="J289" t="s">
        <v>1786</v>
      </c>
      <c r="K289" t="s">
        <v>1787</v>
      </c>
      <c r="L289" s="13">
        <v>44887.363807870373</v>
      </c>
      <c r="M289" s="13">
        <v>44887.363807870373</v>
      </c>
      <c r="N289" s="13">
        <v>44886.598287037035</v>
      </c>
      <c r="O289" t="s">
        <v>1788</v>
      </c>
      <c r="P289" t="s">
        <v>1789</v>
      </c>
      <c r="Q289" t="s">
        <v>5142</v>
      </c>
      <c r="R289" t="s">
        <v>5143</v>
      </c>
      <c r="S289" t="s">
        <v>99</v>
      </c>
      <c r="T289" t="s">
        <v>99</v>
      </c>
      <c r="U289" t="s">
        <v>99</v>
      </c>
      <c r="V289" t="s">
        <v>4495</v>
      </c>
      <c r="W289" t="s">
        <v>4496</v>
      </c>
      <c r="X289" t="s">
        <v>99</v>
      </c>
      <c r="Y289" t="s">
        <v>99</v>
      </c>
      <c r="Z289" t="s">
        <v>99</v>
      </c>
    </row>
    <row r="290" spans="1:26">
      <c r="A290" t="s">
        <v>5144</v>
      </c>
      <c r="B290" t="s">
        <v>222</v>
      </c>
      <c r="C290">
        <v>2016</v>
      </c>
      <c r="D290" t="s">
        <v>1758</v>
      </c>
      <c r="E290" t="s">
        <v>1759</v>
      </c>
      <c r="F290" t="s">
        <v>1760</v>
      </c>
      <c r="G290" t="s">
        <v>1761</v>
      </c>
      <c r="H290" t="s">
        <v>99</v>
      </c>
      <c r="I290" t="s">
        <v>99</v>
      </c>
      <c r="J290" t="s">
        <v>1762</v>
      </c>
      <c r="K290" t="s">
        <v>331</v>
      </c>
      <c r="L290" s="13">
        <v>44887.363807870373</v>
      </c>
      <c r="M290" s="13">
        <v>44887.363807870373</v>
      </c>
      <c r="N290" s="13">
        <v>44886.598275462966</v>
      </c>
      <c r="O290" t="s">
        <v>1763</v>
      </c>
      <c r="P290" t="s">
        <v>99</v>
      </c>
      <c r="Q290" t="s">
        <v>5145</v>
      </c>
      <c r="R290" t="s">
        <v>99</v>
      </c>
      <c r="S290" t="s">
        <v>99</v>
      </c>
      <c r="T290" t="s">
        <v>1764</v>
      </c>
      <c r="U290" t="s">
        <v>1765</v>
      </c>
      <c r="V290" t="s">
        <v>99</v>
      </c>
      <c r="W290" t="s">
        <v>4496</v>
      </c>
      <c r="X290" t="s">
        <v>1766</v>
      </c>
      <c r="Y290" t="s">
        <v>5146</v>
      </c>
      <c r="Z290" t="s">
        <v>99</v>
      </c>
    </row>
    <row r="291" spans="1:26">
      <c r="A291" t="s">
        <v>5147</v>
      </c>
      <c r="B291" t="s">
        <v>222</v>
      </c>
      <c r="C291">
        <v>2018</v>
      </c>
      <c r="D291" t="s">
        <v>1790</v>
      </c>
      <c r="E291" t="s">
        <v>1791</v>
      </c>
      <c r="F291" t="s">
        <v>1792</v>
      </c>
      <c r="G291" t="s">
        <v>1793</v>
      </c>
      <c r="H291" t="s">
        <v>99</v>
      </c>
      <c r="I291" t="s">
        <v>99</v>
      </c>
      <c r="J291" t="s">
        <v>1794</v>
      </c>
      <c r="K291" t="s">
        <v>384</v>
      </c>
      <c r="L291" s="13">
        <v>44887.363807870373</v>
      </c>
      <c r="M291" s="13">
        <v>44887.363807870373</v>
      </c>
      <c r="N291" s="13">
        <v>44886.598298611112</v>
      </c>
      <c r="O291" t="s">
        <v>1795</v>
      </c>
      <c r="P291" t="s">
        <v>99</v>
      </c>
      <c r="Q291" t="s">
        <v>5148</v>
      </c>
      <c r="R291" t="s">
        <v>99</v>
      </c>
      <c r="S291" t="s">
        <v>5149</v>
      </c>
      <c r="T291" t="s">
        <v>1226</v>
      </c>
      <c r="U291" t="s">
        <v>1227</v>
      </c>
      <c r="V291" t="s">
        <v>99</v>
      </c>
      <c r="W291" t="s">
        <v>4496</v>
      </c>
      <c r="X291" t="s">
        <v>1796</v>
      </c>
      <c r="Y291" t="s">
        <v>5150</v>
      </c>
      <c r="Z291" t="s">
        <v>99</v>
      </c>
    </row>
    <row r="292" spans="1:26">
      <c r="A292" t="s">
        <v>5151</v>
      </c>
      <c r="B292" t="s">
        <v>222</v>
      </c>
      <c r="C292">
        <v>2017</v>
      </c>
      <c r="D292" t="s">
        <v>1774</v>
      </c>
      <c r="E292" t="s">
        <v>1775</v>
      </c>
      <c r="F292" t="s">
        <v>1776</v>
      </c>
      <c r="G292" t="s">
        <v>1777</v>
      </c>
      <c r="H292" t="s">
        <v>99</v>
      </c>
      <c r="I292" t="s">
        <v>99</v>
      </c>
      <c r="J292" t="s">
        <v>1778</v>
      </c>
      <c r="K292" t="s">
        <v>156</v>
      </c>
      <c r="L292" s="13">
        <v>44887.363807870373</v>
      </c>
      <c r="M292" s="13">
        <v>44887.363807870373</v>
      </c>
      <c r="N292" s="13">
        <v>44886.598287037035</v>
      </c>
      <c r="O292" t="s">
        <v>1779</v>
      </c>
      <c r="P292" t="s">
        <v>99</v>
      </c>
      <c r="Q292" t="s">
        <v>5152</v>
      </c>
      <c r="R292" t="s">
        <v>99</v>
      </c>
      <c r="S292" t="s">
        <v>99</v>
      </c>
      <c r="T292" t="s">
        <v>1226</v>
      </c>
      <c r="U292" t="s">
        <v>1227</v>
      </c>
      <c r="V292" t="s">
        <v>99</v>
      </c>
      <c r="W292" t="s">
        <v>4496</v>
      </c>
      <c r="X292" t="s">
        <v>1780</v>
      </c>
      <c r="Y292" t="s">
        <v>5153</v>
      </c>
      <c r="Z292" t="s">
        <v>99</v>
      </c>
    </row>
    <row r="293" spans="1:26">
      <c r="A293" t="s">
        <v>5154</v>
      </c>
      <c r="B293" t="s">
        <v>222</v>
      </c>
      <c r="C293">
        <v>2009</v>
      </c>
      <c r="D293" t="s">
        <v>1767</v>
      </c>
      <c r="E293" t="s">
        <v>1768</v>
      </c>
      <c r="F293" t="s">
        <v>1769</v>
      </c>
      <c r="G293" t="s">
        <v>1770</v>
      </c>
      <c r="H293" t="s">
        <v>99</v>
      </c>
      <c r="I293" t="s">
        <v>99</v>
      </c>
      <c r="J293" t="s">
        <v>1771</v>
      </c>
      <c r="K293" t="s">
        <v>615</v>
      </c>
      <c r="L293" s="13">
        <v>44887.363807870373</v>
      </c>
      <c r="M293" s="13">
        <v>44887.363807870373</v>
      </c>
      <c r="N293" s="13">
        <v>44886.598275462966</v>
      </c>
      <c r="O293" t="s">
        <v>1772</v>
      </c>
      <c r="P293" t="s">
        <v>99</v>
      </c>
      <c r="Q293" t="s">
        <v>5155</v>
      </c>
      <c r="R293" t="s">
        <v>99</v>
      </c>
      <c r="S293" t="s">
        <v>99</v>
      </c>
      <c r="T293" t="s">
        <v>1218</v>
      </c>
      <c r="U293" t="s">
        <v>133</v>
      </c>
      <c r="V293" t="s">
        <v>99</v>
      </c>
      <c r="W293" t="s">
        <v>4496</v>
      </c>
      <c r="X293" t="s">
        <v>1773</v>
      </c>
      <c r="Y293" t="s">
        <v>5156</v>
      </c>
      <c r="Z293" t="s">
        <v>99</v>
      </c>
    </row>
    <row r="294" spans="1:26">
      <c r="A294" t="s">
        <v>5157</v>
      </c>
      <c r="B294" t="s">
        <v>222</v>
      </c>
      <c r="C294">
        <v>2021</v>
      </c>
      <c r="D294" t="s">
        <v>1745</v>
      </c>
      <c r="E294" t="s">
        <v>1746</v>
      </c>
      <c r="F294" t="s">
        <v>1558</v>
      </c>
      <c r="G294" t="s">
        <v>1747</v>
      </c>
      <c r="H294" t="s">
        <v>99</v>
      </c>
      <c r="I294" t="s">
        <v>99</v>
      </c>
      <c r="J294" t="s">
        <v>1748</v>
      </c>
      <c r="K294" t="s">
        <v>113</v>
      </c>
      <c r="L294" s="13">
        <v>44887.363807870373</v>
      </c>
      <c r="M294" s="13">
        <v>44887.363807870373</v>
      </c>
      <c r="N294" s="13">
        <v>44886.598252314812</v>
      </c>
      <c r="O294" t="s">
        <v>1749</v>
      </c>
      <c r="P294" t="s">
        <v>99</v>
      </c>
      <c r="Q294" t="s">
        <v>5158</v>
      </c>
      <c r="R294" t="s">
        <v>99</v>
      </c>
      <c r="S294" t="s">
        <v>99</v>
      </c>
      <c r="T294" t="s">
        <v>1226</v>
      </c>
      <c r="U294" t="s">
        <v>1227</v>
      </c>
      <c r="V294" t="s">
        <v>4495</v>
      </c>
      <c r="W294" t="s">
        <v>4496</v>
      </c>
      <c r="X294" t="s">
        <v>1750</v>
      </c>
      <c r="Y294" t="s">
        <v>5159</v>
      </c>
      <c r="Z294" t="s">
        <v>99</v>
      </c>
    </row>
    <row r="295" spans="1:26">
      <c r="A295" t="s">
        <v>5160</v>
      </c>
      <c r="B295" t="s">
        <v>222</v>
      </c>
      <c r="C295">
        <v>2012</v>
      </c>
      <c r="D295" t="s">
        <v>1738</v>
      </c>
      <c r="E295" t="s">
        <v>1739</v>
      </c>
      <c r="F295" t="s">
        <v>1740</v>
      </c>
      <c r="G295" t="s">
        <v>1741</v>
      </c>
      <c r="H295" t="s">
        <v>99</v>
      </c>
      <c r="I295" t="s">
        <v>99</v>
      </c>
      <c r="J295" t="s">
        <v>1742</v>
      </c>
      <c r="K295" t="s">
        <v>351</v>
      </c>
      <c r="L295" s="13">
        <v>44887.363807870373</v>
      </c>
      <c r="M295" s="13">
        <v>44887.363807870373</v>
      </c>
      <c r="N295" s="13">
        <v>44886.598252314812</v>
      </c>
      <c r="O295" t="s">
        <v>1743</v>
      </c>
      <c r="P295" t="s">
        <v>99</v>
      </c>
      <c r="Q295" t="s">
        <v>5161</v>
      </c>
      <c r="R295" t="s">
        <v>99</v>
      </c>
      <c r="S295" t="s">
        <v>99</v>
      </c>
      <c r="T295" t="s">
        <v>1218</v>
      </c>
      <c r="U295" t="s">
        <v>133</v>
      </c>
      <c r="V295" t="s">
        <v>99</v>
      </c>
      <c r="W295" t="s">
        <v>4496</v>
      </c>
      <c r="X295" t="s">
        <v>1744</v>
      </c>
      <c r="Y295" t="s">
        <v>5162</v>
      </c>
      <c r="Z295" t="s">
        <v>4568</v>
      </c>
    </row>
    <row r="296" spans="1:26">
      <c r="A296" t="s">
        <v>5163</v>
      </c>
      <c r="B296" t="s">
        <v>222</v>
      </c>
      <c r="C296">
        <v>2021</v>
      </c>
      <c r="D296" t="s">
        <v>1731</v>
      </c>
      <c r="E296" t="s">
        <v>1732</v>
      </c>
      <c r="F296" t="s">
        <v>1733</v>
      </c>
      <c r="G296" t="s">
        <v>1734</v>
      </c>
      <c r="H296" t="s">
        <v>99</v>
      </c>
      <c r="I296" t="s">
        <v>99</v>
      </c>
      <c r="J296" t="s">
        <v>1735</v>
      </c>
      <c r="K296" t="s">
        <v>113</v>
      </c>
      <c r="L296" s="13">
        <v>44887.363807870373</v>
      </c>
      <c r="M296" s="13">
        <v>44887.363807870373</v>
      </c>
      <c r="N296" s="13">
        <v>44886.598240740743</v>
      </c>
      <c r="O296" t="s">
        <v>1736</v>
      </c>
      <c r="P296" t="s">
        <v>99</v>
      </c>
      <c r="Q296" t="s">
        <v>5164</v>
      </c>
      <c r="R296" t="s">
        <v>99</v>
      </c>
      <c r="S296" t="s">
        <v>5165</v>
      </c>
      <c r="T296" t="s">
        <v>1226</v>
      </c>
      <c r="U296" t="s">
        <v>1227</v>
      </c>
      <c r="V296" t="s">
        <v>4495</v>
      </c>
      <c r="W296" t="s">
        <v>4496</v>
      </c>
      <c r="X296" t="s">
        <v>1737</v>
      </c>
      <c r="Y296" t="s">
        <v>5166</v>
      </c>
      <c r="Z296" t="s">
        <v>99</v>
      </c>
    </row>
    <row r="297" spans="1:26">
      <c r="A297" t="s">
        <v>5167</v>
      </c>
      <c r="B297" t="s">
        <v>222</v>
      </c>
      <c r="C297">
        <v>2011</v>
      </c>
      <c r="D297" t="s">
        <v>1716</v>
      </c>
      <c r="E297" t="s">
        <v>1717</v>
      </c>
      <c r="F297" t="s">
        <v>1718</v>
      </c>
      <c r="G297" t="s">
        <v>1719</v>
      </c>
      <c r="H297" t="s">
        <v>99</v>
      </c>
      <c r="I297" t="s">
        <v>99</v>
      </c>
      <c r="J297" t="s">
        <v>1720</v>
      </c>
      <c r="K297" t="s">
        <v>102</v>
      </c>
      <c r="L297" s="13">
        <v>44887.363807870373</v>
      </c>
      <c r="M297" s="13">
        <v>44887.363807870373</v>
      </c>
      <c r="N297" s="13">
        <v>44886.598229166666</v>
      </c>
      <c r="O297" t="s">
        <v>1721</v>
      </c>
      <c r="P297" t="s">
        <v>99</v>
      </c>
      <c r="Q297" t="s">
        <v>5168</v>
      </c>
      <c r="R297" t="s">
        <v>99</v>
      </c>
      <c r="S297" t="s">
        <v>99</v>
      </c>
      <c r="T297" t="s">
        <v>1218</v>
      </c>
      <c r="U297" t="s">
        <v>133</v>
      </c>
      <c r="V297" t="s">
        <v>99</v>
      </c>
      <c r="W297" t="s">
        <v>4496</v>
      </c>
      <c r="X297" t="s">
        <v>1722</v>
      </c>
      <c r="Y297" t="s">
        <v>5169</v>
      </c>
      <c r="Z297" t="s">
        <v>99</v>
      </c>
    </row>
    <row r="298" spans="1:26">
      <c r="A298" t="s">
        <v>5170</v>
      </c>
      <c r="B298" t="s">
        <v>222</v>
      </c>
      <c r="C298">
        <v>2010</v>
      </c>
      <c r="D298" t="s">
        <v>1693</v>
      </c>
      <c r="E298" t="s">
        <v>1694</v>
      </c>
      <c r="F298" t="s">
        <v>1695</v>
      </c>
      <c r="G298" t="s">
        <v>1696</v>
      </c>
      <c r="H298" t="s">
        <v>99</v>
      </c>
      <c r="I298" t="s">
        <v>99</v>
      </c>
      <c r="J298" t="s">
        <v>1697</v>
      </c>
      <c r="K298" t="s">
        <v>130</v>
      </c>
      <c r="L298" s="13">
        <v>44887.363807870373</v>
      </c>
      <c r="M298" s="13">
        <v>44887.363807870373</v>
      </c>
      <c r="N298" s="13">
        <v>44886.598217592589</v>
      </c>
      <c r="O298" t="s">
        <v>1698</v>
      </c>
      <c r="P298" t="s">
        <v>99</v>
      </c>
      <c r="Q298" t="s">
        <v>5142</v>
      </c>
      <c r="R298" t="s">
        <v>99</v>
      </c>
      <c r="S298" t="s">
        <v>99</v>
      </c>
      <c r="T298" t="s">
        <v>1218</v>
      </c>
      <c r="U298" t="s">
        <v>133</v>
      </c>
      <c r="V298" t="s">
        <v>99</v>
      </c>
      <c r="W298" t="s">
        <v>4496</v>
      </c>
      <c r="X298" t="s">
        <v>1699</v>
      </c>
      <c r="Y298" t="s">
        <v>5171</v>
      </c>
      <c r="Z298" t="s">
        <v>5172</v>
      </c>
    </row>
    <row r="299" spans="1:26">
      <c r="A299" t="s">
        <v>5173</v>
      </c>
      <c r="B299" t="s">
        <v>135</v>
      </c>
      <c r="C299">
        <v>2009</v>
      </c>
      <c r="D299" t="s">
        <v>1685</v>
      </c>
      <c r="E299" t="s">
        <v>1686</v>
      </c>
      <c r="F299" t="s">
        <v>1687</v>
      </c>
      <c r="G299" t="s">
        <v>99</v>
      </c>
      <c r="H299" t="s">
        <v>1688</v>
      </c>
      <c r="I299" t="s">
        <v>1689</v>
      </c>
      <c r="J299" t="s">
        <v>1690</v>
      </c>
      <c r="K299" t="s">
        <v>1691</v>
      </c>
      <c r="L299" s="13">
        <v>44887.363807870373</v>
      </c>
      <c r="M299" s="13">
        <v>44887.363807870373</v>
      </c>
      <c r="N299" s="13">
        <v>44886.59820601852</v>
      </c>
      <c r="O299" t="s">
        <v>1692</v>
      </c>
      <c r="P299" t="s">
        <v>182</v>
      </c>
      <c r="Q299" t="s">
        <v>941</v>
      </c>
      <c r="R299" t="s">
        <v>4736</v>
      </c>
      <c r="S299" t="s">
        <v>99</v>
      </c>
      <c r="T299" t="s">
        <v>99</v>
      </c>
      <c r="U299" t="s">
        <v>99</v>
      </c>
      <c r="V299" t="s">
        <v>4495</v>
      </c>
      <c r="W299" t="s">
        <v>4496</v>
      </c>
      <c r="X299" t="s">
        <v>99</v>
      </c>
      <c r="Y299" t="s">
        <v>99</v>
      </c>
      <c r="Z299" t="s">
        <v>99</v>
      </c>
    </row>
    <row r="300" spans="1:26">
      <c r="A300" t="s">
        <v>5174</v>
      </c>
      <c r="B300" t="s">
        <v>222</v>
      </c>
      <c r="C300">
        <v>2010</v>
      </c>
      <c r="D300" t="s">
        <v>1678</v>
      </c>
      <c r="E300" t="s">
        <v>1679</v>
      </c>
      <c r="F300" t="s">
        <v>1680</v>
      </c>
      <c r="G300" t="s">
        <v>1681</v>
      </c>
      <c r="H300" t="s">
        <v>99</v>
      </c>
      <c r="I300" t="s">
        <v>99</v>
      </c>
      <c r="J300" t="s">
        <v>1682</v>
      </c>
      <c r="K300" t="s">
        <v>130</v>
      </c>
      <c r="L300" s="13">
        <v>44887.363807870373</v>
      </c>
      <c r="M300" s="13">
        <v>44887.363807870373</v>
      </c>
      <c r="N300" s="13">
        <v>44886.59820601852</v>
      </c>
      <c r="O300" t="s">
        <v>1683</v>
      </c>
      <c r="P300" t="s">
        <v>99</v>
      </c>
      <c r="Q300" t="s">
        <v>5175</v>
      </c>
      <c r="R300" t="s">
        <v>99</v>
      </c>
      <c r="S300" t="s">
        <v>99</v>
      </c>
      <c r="T300" t="s">
        <v>1218</v>
      </c>
      <c r="U300" t="s">
        <v>133</v>
      </c>
      <c r="V300" t="s">
        <v>99</v>
      </c>
      <c r="W300" t="s">
        <v>4496</v>
      </c>
      <c r="X300" t="s">
        <v>1684</v>
      </c>
      <c r="Y300" t="s">
        <v>5176</v>
      </c>
      <c r="Z300" t="s">
        <v>99</v>
      </c>
    </row>
    <row r="301" spans="1:26">
      <c r="A301" t="s">
        <v>5177</v>
      </c>
      <c r="B301" t="s">
        <v>222</v>
      </c>
      <c r="C301">
        <v>2020</v>
      </c>
      <c r="D301" t="s">
        <v>1671</v>
      </c>
      <c r="E301" t="s">
        <v>1672</v>
      </c>
      <c r="F301" t="s">
        <v>1673</v>
      </c>
      <c r="G301" t="s">
        <v>1674</v>
      </c>
      <c r="H301" t="s">
        <v>99</v>
      </c>
      <c r="I301" t="s">
        <v>99</v>
      </c>
      <c r="J301" t="s">
        <v>1675</v>
      </c>
      <c r="K301" t="s">
        <v>176</v>
      </c>
      <c r="L301" s="13">
        <v>44887.363807870373</v>
      </c>
      <c r="M301" s="13">
        <v>44887.363807870373</v>
      </c>
      <c r="N301" s="13">
        <v>44886.598194444443</v>
      </c>
      <c r="O301" t="s">
        <v>1676</v>
      </c>
      <c r="P301" t="s">
        <v>99</v>
      </c>
      <c r="Q301" t="s">
        <v>4991</v>
      </c>
      <c r="R301" t="s">
        <v>99</v>
      </c>
      <c r="S301" t="s">
        <v>99</v>
      </c>
      <c r="T301" t="s">
        <v>1226</v>
      </c>
      <c r="U301" t="s">
        <v>1227</v>
      </c>
      <c r="V301" t="s">
        <v>4495</v>
      </c>
      <c r="W301" t="s">
        <v>4496</v>
      </c>
      <c r="X301" t="s">
        <v>1677</v>
      </c>
      <c r="Y301" t="s">
        <v>5178</v>
      </c>
      <c r="Z301" t="s">
        <v>99</v>
      </c>
    </row>
    <row r="302" spans="1:26">
      <c r="A302" t="s">
        <v>5179</v>
      </c>
      <c r="B302" t="s">
        <v>222</v>
      </c>
      <c r="C302">
        <v>2002</v>
      </c>
      <c r="D302" t="s">
        <v>1663</v>
      </c>
      <c r="E302" t="s">
        <v>1664</v>
      </c>
      <c r="F302" t="s">
        <v>1665</v>
      </c>
      <c r="G302" t="s">
        <v>1666</v>
      </c>
      <c r="H302" t="s">
        <v>99</v>
      </c>
      <c r="I302" t="s">
        <v>99</v>
      </c>
      <c r="J302" t="s">
        <v>1667</v>
      </c>
      <c r="K302" t="s">
        <v>1668</v>
      </c>
      <c r="L302" s="13">
        <v>44887.363807870373</v>
      </c>
      <c r="M302" s="13">
        <v>44887.363807870373</v>
      </c>
      <c r="N302" s="13">
        <v>44886.598194444443</v>
      </c>
      <c r="O302" t="s">
        <v>1669</v>
      </c>
      <c r="P302" t="s">
        <v>99</v>
      </c>
      <c r="Q302" t="s">
        <v>5180</v>
      </c>
      <c r="R302" t="s">
        <v>99</v>
      </c>
      <c r="S302" t="s">
        <v>99</v>
      </c>
      <c r="T302" t="s">
        <v>1218</v>
      </c>
      <c r="U302" t="s">
        <v>133</v>
      </c>
      <c r="V302" t="s">
        <v>99</v>
      </c>
      <c r="W302" t="s">
        <v>4496</v>
      </c>
      <c r="X302" t="s">
        <v>1670</v>
      </c>
      <c r="Y302" t="s">
        <v>5181</v>
      </c>
      <c r="Z302" t="s">
        <v>4526</v>
      </c>
    </row>
    <row r="303" spans="1:26">
      <c r="A303" t="s">
        <v>5182</v>
      </c>
      <c r="B303" t="s">
        <v>222</v>
      </c>
      <c r="C303">
        <v>2012</v>
      </c>
      <c r="D303" t="s">
        <v>1656</v>
      </c>
      <c r="E303" t="s">
        <v>1657</v>
      </c>
      <c r="F303" t="s">
        <v>1658</v>
      </c>
      <c r="G303" t="s">
        <v>1659</v>
      </c>
      <c r="H303" t="s">
        <v>99</v>
      </c>
      <c r="I303" t="s">
        <v>99</v>
      </c>
      <c r="J303" t="s">
        <v>1660</v>
      </c>
      <c r="K303" t="s">
        <v>351</v>
      </c>
      <c r="L303" s="13">
        <v>44887.363807870373</v>
      </c>
      <c r="M303" s="13">
        <v>44887.363807870373</v>
      </c>
      <c r="N303" s="13">
        <v>44886.598182870373</v>
      </c>
      <c r="O303" t="s">
        <v>1661</v>
      </c>
      <c r="P303" t="s">
        <v>99</v>
      </c>
      <c r="Q303" t="s">
        <v>5183</v>
      </c>
      <c r="R303" t="s">
        <v>99</v>
      </c>
      <c r="S303" t="s">
        <v>99</v>
      </c>
      <c r="T303" t="s">
        <v>1218</v>
      </c>
      <c r="U303" t="s">
        <v>133</v>
      </c>
      <c r="V303" t="s">
        <v>99</v>
      </c>
      <c r="W303" t="s">
        <v>4496</v>
      </c>
      <c r="X303" t="s">
        <v>1662</v>
      </c>
      <c r="Y303" t="s">
        <v>5184</v>
      </c>
      <c r="Z303" t="s">
        <v>4568</v>
      </c>
    </row>
    <row r="304" spans="1:26">
      <c r="A304" t="s">
        <v>5185</v>
      </c>
      <c r="B304" t="s">
        <v>135</v>
      </c>
      <c r="C304">
        <v>2018</v>
      </c>
      <c r="D304" t="s">
        <v>1708</v>
      </c>
      <c r="E304" t="s">
        <v>1709</v>
      </c>
      <c r="F304" t="s">
        <v>1710</v>
      </c>
      <c r="G304" t="s">
        <v>99</v>
      </c>
      <c r="H304" t="s">
        <v>1711</v>
      </c>
      <c r="I304" t="s">
        <v>1712</v>
      </c>
      <c r="J304" t="s">
        <v>1713</v>
      </c>
      <c r="K304" t="s">
        <v>1714</v>
      </c>
      <c r="L304" s="13">
        <v>44887.363807870373</v>
      </c>
      <c r="M304" s="13">
        <v>44887.363807870373</v>
      </c>
      <c r="N304" s="13">
        <v>44886.598217592589</v>
      </c>
      <c r="O304" t="s">
        <v>1715</v>
      </c>
      <c r="P304" t="s">
        <v>941</v>
      </c>
      <c r="Q304" t="s">
        <v>5186</v>
      </c>
      <c r="R304" t="s">
        <v>5187</v>
      </c>
      <c r="S304" t="s">
        <v>5188</v>
      </c>
      <c r="T304" t="s">
        <v>99</v>
      </c>
      <c r="U304" t="s">
        <v>99</v>
      </c>
      <c r="V304" t="s">
        <v>4495</v>
      </c>
      <c r="W304" t="s">
        <v>4496</v>
      </c>
      <c r="X304" t="s">
        <v>99</v>
      </c>
      <c r="Y304" t="s">
        <v>99</v>
      </c>
      <c r="Z304" t="s">
        <v>99</v>
      </c>
    </row>
    <row r="305" spans="1:26">
      <c r="A305" t="s">
        <v>5189</v>
      </c>
      <c r="B305" t="s">
        <v>222</v>
      </c>
      <c r="C305">
        <v>2016</v>
      </c>
      <c r="D305" t="s">
        <v>1649</v>
      </c>
      <c r="E305" t="s">
        <v>1650</v>
      </c>
      <c r="F305" t="s">
        <v>1651</v>
      </c>
      <c r="G305" t="s">
        <v>1652</v>
      </c>
      <c r="H305" t="s">
        <v>99</v>
      </c>
      <c r="I305" t="s">
        <v>99</v>
      </c>
      <c r="J305" t="s">
        <v>1653</v>
      </c>
      <c r="K305" t="s">
        <v>331</v>
      </c>
      <c r="L305" s="13">
        <v>44887.363807870373</v>
      </c>
      <c r="M305" s="13">
        <v>44887.363807870373</v>
      </c>
      <c r="N305" s="13">
        <v>44886.598182870373</v>
      </c>
      <c r="O305" t="s">
        <v>1654</v>
      </c>
      <c r="P305" t="s">
        <v>99</v>
      </c>
      <c r="Q305" t="s">
        <v>5190</v>
      </c>
      <c r="R305" t="s">
        <v>99</v>
      </c>
      <c r="S305" t="s">
        <v>99</v>
      </c>
      <c r="T305" t="s">
        <v>1226</v>
      </c>
      <c r="U305" t="s">
        <v>1227</v>
      </c>
      <c r="V305" t="s">
        <v>4495</v>
      </c>
      <c r="W305" t="s">
        <v>4496</v>
      </c>
      <c r="X305" t="s">
        <v>1655</v>
      </c>
      <c r="Y305" t="s">
        <v>5191</v>
      </c>
      <c r="Z305" t="s">
        <v>99</v>
      </c>
    </row>
    <row r="306" spans="1:26">
      <c r="A306" t="s">
        <v>5192</v>
      </c>
      <c r="B306" t="s">
        <v>222</v>
      </c>
      <c r="C306">
        <v>2022</v>
      </c>
      <c r="D306" t="s">
        <v>1642</v>
      </c>
      <c r="E306" t="s">
        <v>1643</v>
      </c>
      <c r="F306" t="s">
        <v>1644</v>
      </c>
      <c r="G306" t="s">
        <v>1645</v>
      </c>
      <c r="H306" t="s">
        <v>99</v>
      </c>
      <c r="I306" t="s">
        <v>99</v>
      </c>
      <c r="J306" t="s">
        <v>1646</v>
      </c>
      <c r="K306" t="s">
        <v>123</v>
      </c>
      <c r="L306" s="13">
        <v>44887.363807870373</v>
      </c>
      <c r="M306" s="13">
        <v>44887.363807870373</v>
      </c>
      <c r="N306" s="13">
        <v>44886.598171296297</v>
      </c>
      <c r="O306" t="s">
        <v>1647</v>
      </c>
      <c r="P306" t="s">
        <v>99</v>
      </c>
      <c r="Q306" t="s">
        <v>5193</v>
      </c>
      <c r="R306" t="s">
        <v>99</v>
      </c>
      <c r="S306" t="s">
        <v>5194</v>
      </c>
      <c r="T306" t="s">
        <v>1226</v>
      </c>
      <c r="U306" t="s">
        <v>1227</v>
      </c>
      <c r="V306" t="s">
        <v>4495</v>
      </c>
      <c r="W306" t="s">
        <v>4496</v>
      </c>
      <c r="X306" t="s">
        <v>1648</v>
      </c>
      <c r="Y306" t="s">
        <v>5195</v>
      </c>
      <c r="Z306" t="s">
        <v>99</v>
      </c>
    </row>
    <row r="307" spans="1:26">
      <c r="A307" t="s">
        <v>5196</v>
      </c>
      <c r="B307" t="s">
        <v>222</v>
      </c>
      <c r="C307">
        <v>2011</v>
      </c>
      <c r="D307" t="s">
        <v>1635</v>
      </c>
      <c r="E307" t="s">
        <v>1636</v>
      </c>
      <c r="F307" t="s">
        <v>1637</v>
      </c>
      <c r="G307" t="s">
        <v>1638</v>
      </c>
      <c r="H307" t="s">
        <v>99</v>
      </c>
      <c r="I307" t="s">
        <v>99</v>
      </c>
      <c r="J307" t="s">
        <v>1639</v>
      </c>
      <c r="K307" t="s">
        <v>102</v>
      </c>
      <c r="L307" s="13">
        <v>44887.363807870373</v>
      </c>
      <c r="M307" s="13">
        <v>44887.363807870373</v>
      </c>
      <c r="N307" s="13">
        <v>44886.598171296297</v>
      </c>
      <c r="O307" t="s">
        <v>1640</v>
      </c>
      <c r="P307" t="s">
        <v>99</v>
      </c>
      <c r="Q307" t="s">
        <v>5197</v>
      </c>
      <c r="R307" t="s">
        <v>99</v>
      </c>
      <c r="S307" t="s">
        <v>99</v>
      </c>
      <c r="T307" t="s">
        <v>1218</v>
      </c>
      <c r="U307" t="s">
        <v>133</v>
      </c>
      <c r="V307" t="s">
        <v>99</v>
      </c>
      <c r="W307" t="s">
        <v>4496</v>
      </c>
      <c r="X307" t="s">
        <v>1641</v>
      </c>
      <c r="Y307" t="s">
        <v>5198</v>
      </c>
      <c r="Z307" t="s">
        <v>99</v>
      </c>
    </row>
    <row r="308" spans="1:26">
      <c r="A308" t="s">
        <v>5199</v>
      </c>
      <c r="B308" t="s">
        <v>222</v>
      </c>
      <c r="C308">
        <v>2020</v>
      </c>
      <c r="D308" t="s">
        <v>1628</v>
      </c>
      <c r="E308" t="s">
        <v>1629</v>
      </c>
      <c r="F308" t="s">
        <v>1630</v>
      </c>
      <c r="G308" t="s">
        <v>1631</v>
      </c>
      <c r="H308" t="s">
        <v>99</v>
      </c>
      <c r="I308" t="s">
        <v>99</v>
      </c>
      <c r="J308" t="s">
        <v>1632</v>
      </c>
      <c r="K308" t="s">
        <v>176</v>
      </c>
      <c r="L308" s="13">
        <v>44887.363807870373</v>
      </c>
      <c r="M308" s="13">
        <v>44887.363807870373</v>
      </c>
      <c r="N308" s="13">
        <v>44886.59815972222</v>
      </c>
      <c r="O308" t="s">
        <v>1633</v>
      </c>
      <c r="P308" t="s">
        <v>99</v>
      </c>
      <c r="Q308" t="s">
        <v>5200</v>
      </c>
      <c r="R308" t="s">
        <v>99</v>
      </c>
      <c r="S308" t="s">
        <v>5201</v>
      </c>
      <c r="T308" t="s">
        <v>1226</v>
      </c>
      <c r="U308" t="s">
        <v>1227</v>
      </c>
      <c r="V308" t="s">
        <v>4495</v>
      </c>
      <c r="W308" t="s">
        <v>4496</v>
      </c>
      <c r="X308" t="s">
        <v>1634</v>
      </c>
      <c r="Y308" t="s">
        <v>5202</v>
      </c>
      <c r="Z308" t="s">
        <v>99</v>
      </c>
    </row>
    <row r="309" spans="1:26">
      <c r="A309" t="s">
        <v>5203</v>
      </c>
      <c r="B309" t="s">
        <v>222</v>
      </c>
      <c r="C309">
        <v>2017</v>
      </c>
      <c r="D309" t="s">
        <v>1621</v>
      </c>
      <c r="E309" t="s">
        <v>1622</v>
      </c>
      <c r="F309" t="s">
        <v>1623</v>
      </c>
      <c r="G309" t="s">
        <v>1624</v>
      </c>
      <c r="H309" t="s">
        <v>99</v>
      </c>
      <c r="I309" t="s">
        <v>99</v>
      </c>
      <c r="J309" t="s">
        <v>1625</v>
      </c>
      <c r="K309" t="s">
        <v>156</v>
      </c>
      <c r="L309" s="13">
        <v>44887.363807870373</v>
      </c>
      <c r="M309" s="13">
        <v>44887.363807870373</v>
      </c>
      <c r="N309" s="13">
        <v>44886.59814814815</v>
      </c>
      <c r="O309" t="s">
        <v>1626</v>
      </c>
      <c r="P309" t="s">
        <v>99</v>
      </c>
      <c r="Q309" t="s">
        <v>5204</v>
      </c>
      <c r="R309" t="s">
        <v>99</v>
      </c>
      <c r="S309" t="s">
        <v>99</v>
      </c>
      <c r="T309" t="s">
        <v>1226</v>
      </c>
      <c r="U309" t="s">
        <v>1227</v>
      </c>
      <c r="V309" t="s">
        <v>4495</v>
      </c>
      <c r="W309" t="s">
        <v>4496</v>
      </c>
      <c r="X309" t="s">
        <v>1627</v>
      </c>
      <c r="Y309" t="s">
        <v>5205</v>
      </c>
      <c r="Z309" t="s">
        <v>99</v>
      </c>
    </row>
    <row r="310" spans="1:26">
      <c r="A310" t="s">
        <v>5206</v>
      </c>
      <c r="B310" t="s">
        <v>135</v>
      </c>
      <c r="C310">
        <v>2019</v>
      </c>
      <c r="D310" t="s">
        <v>1605</v>
      </c>
      <c r="E310" t="s">
        <v>1606</v>
      </c>
      <c r="F310" t="s">
        <v>1607</v>
      </c>
      <c r="G310" t="s">
        <v>99</v>
      </c>
      <c r="H310" t="s">
        <v>1266</v>
      </c>
      <c r="I310" t="s">
        <v>1608</v>
      </c>
      <c r="J310" t="s">
        <v>1609</v>
      </c>
      <c r="K310" t="s">
        <v>1610</v>
      </c>
      <c r="L310" s="13">
        <v>44887.363807870373</v>
      </c>
      <c r="M310" s="13">
        <v>44887.363807870373</v>
      </c>
      <c r="N310" s="13">
        <v>44886.598136574074</v>
      </c>
      <c r="O310" t="s">
        <v>1611</v>
      </c>
      <c r="P310" t="s">
        <v>182</v>
      </c>
      <c r="Q310" t="s">
        <v>4762</v>
      </c>
      <c r="R310" t="s">
        <v>4513</v>
      </c>
      <c r="S310" t="s">
        <v>99</v>
      </c>
      <c r="T310" t="s">
        <v>99</v>
      </c>
      <c r="U310" t="s">
        <v>99</v>
      </c>
      <c r="V310" t="s">
        <v>4495</v>
      </c>
      <c r="W310" t="s">
        <v>4496</v>
      </c>
      <c r="X310" t="s">
        <v>99</v>
      </c>
      <c r="Y310" t="s">
        <v>99</v>
      </c>
      <c r="Z310" t="s">
        <v>99</v>
      </c>
    </row>
    <row r="311" spans="1:26">
      <c r="A311" t="s">
        <v>5207</v>
      </c>
      <c r="B311" t="s">
        <v>222</v>
      </c>
      <c r="C311">
        <v>2006</v>
      </c>
      <c r="D311" t="s">
        <v>1612</v>
      </c>
      <c r="E311" t="s">
        <v>1613</v>
      </c>
      <c r="F311" t="s">
        <v>1614</v>
      </c>
      <c r="G311" t="s">
        <v>1615</v>
      </c>
      <c r="H311" t="s">
        <v>99</v>
      </c>
      <c r="I311" t="s">
        <v>99</v>
      </c>
      <c r="J311" t="s">
        <v>1616</v>
      </c>
      <c r="K311" t="s">
        <v>279</v>
      </c>
      <c r="L311" s="13">
        <v>44887.363807870373</v>
      </c>
      <c r="M311" s="13">
        <v>44887.363807870373</v>
      </c>
      <c r="N311" s="13">
        <v>44886.59814814815</v>
      </c>
      <c r="O311" t="s">
        <v>1617</v>
      </c>
      <c r="P311" t="s">
        <v>99</v>
      </c>
      <c r="Q311" t="s">
        <v>5208</v>
      </c>
      <c r="R311" t="s">
        <v>99</v>
      </c>
      <c r="S311" t="s">
        <v>99</v>
      </c>
      <c r="T311" t="s">
        <v>1618</v>
      </c>
      <c r="U311" t="s">
        <v>1619</v>
      </c>
      <c r="V311" t="s">
        <v>4495</v>
      </c>
      <c r="W311" t="s">
        <v>4496</v>
      </c>
      <c r="X311" t="s">
        <v>1620</v>
      </c>
      <c r="Y311" t="s">
        <v>5209</v>
      </c>
      <c r="Z311" t="s">
        <v>99</v>
      </c>
    </row>
    <row r="312" spans="1:26">
      <c r="A312" t="s">
        <v>5210</v>
      </c>
      <c r="B312" t="s">
        <v>222</v>
      </c>
      <c r="C312">
        <v>2013</v>
      </c>
      <c r="D312" t="s">
        <v>1598</v>
      </c>
      <c r="E312" t="s">
        <v>1599</v>
      </c>
      <c r="F312" t="s">
        <v>1600</v>
      </c>
      <c r="G312" t="s">
        <v>1601</v>
      </c>
      <c r="H312" t="s">
        <v>99</v>
      </c>
      <c r="I312" t="s">
        <v>99</v>
      </c>
      <c r="J312" t="s">
        <v>1602</v>
      </c>
      <c r="K312" t="s">
        <v>139</v>
      </c>
      <c r="L312" s="13">
        <v>44887.363807870373</v>
      </c>
      <c r="M312" s="13">
        <v>44887.363807870373</v>
      </c>
      <c r="N312" s="13">
        <v>44886.598136574074</v>
      </c>
      <c r="O312" t="s">
        <v>1603</v>
      </c>
      <c r="P312" t="s">
        <v>99</v>
      </c>
      <c r="Q312" t="s">
        <v>5211</v>
      </c>
      <c r="R312" t="s">
        <v>99</v>
      </c>
      <c r="S312" t="s">
        <v>99</v>
      </c>
      <c r="T312" t="s">
        <v>1218</v>
      </c>
      <c r="U312" t="s">
        <v>133</v>
      </c>
      <c r="V312" t="s">
        <v>99</v>
      </c>
      <c r="W312" t="s">
        <v>4496</v>
      </c>
      <c r="X312" t="s">
        <v>1604</v>
      </c>
      <c r="Y312" t="s">
        <v>5212</v>
      </c>
      <c r="Z312" t="s">
        <v>4568</v>
      </c>
    </row>
    <row r="313" spans="1:26">
      <c r="A313" t="s">
        <v>5213</v>
      </c>
      <c r="B313" t="s">
        <v>222</v>
      </c>
      <c r="C313">
        <v>1997</v>
      </c>
      <c r="D313" t="s">
        <v>1590</v>
      </c>
      <c r="E313" t="s">
        <v>1591</v>
      </c>
      <c r="F313" t="s">
        <v>1592</v>
      </c>
      <c r="G313" t="s">
        <v>1593</v>
      </c>
      <c r="H313" t="s">
        <v>99</v>
      </c>
      <c r="I313" t="s">
        <v>99</v>
      </c>
      <c r="J313" t="s">
        <v>1594</v>
      </c>
      <c r="K313" t="s">
        <v>1595</v>
      </c>
      <c r="L313" s="13">
        <v>44887.363807870373</v>
      </c>
      <c r="M313" s="13">
        <v>44887.363807870373</v>
      </c>
      <c r="N313" s="13">
        <v>44886.598124999997</v>
      </c>
      <c r="O313" t="s">
        <v>1596</v>
      </c>
      <c r="P313" t="s">
        <v>99</v>
      </c>
      <c r="Q313" t="s">
        <v>99</v>
      </c>
      <c r="R313" t="s">
        <v>99</v>
      </c>
      <c r="S313" t="s">
        <v>99</v>
      </c>
      <c r="T313" t="s">
        <v>1331</v>
      </c>
      <c r="U313" t="s">
        <v>1332</v>
      </c>
      <c r="V313" t="s">
        <v>4495</v>
      </c>
      <c r="W313" t="s">
        <v>4496</v>
      </c>
      <c r="X313" t="s">
        <v>1597</v>
      </c>
      <c r="Y313" t="s">
        <v>99</v>
      </c>
      <c r="Z313" t="s">
        <v>99</v>
      </c>
    </row>
    <row r="314" spans="1:26">
      <c r="A314" t="s">
        <v>5214</v>
      </c>
      <c r="B314" t="s">
        <v>222</v>
      </c>
      <c r="C314">
        <v>2021</v>
      </c>
      <c r="D314" t="s">
        <v>1563</v>
      </c>
      <c r="E314" t="s">
        <v>1564</v>
      </c>
      <c r="F314" t="s">
        <v>1565</v>
      </c>
      <c r="G314" t="s">
        <v>1566</v>
      </c>
      <c r="H314" t="s">
        <v>99</v>
      </c>
      <c r="I314" t="s">
        <v>99</v>
      </c>
      <c r="J314" t="s">
        <v>1567</v>
      </c>
      <c r="K314" t="s">
        <v>113</v>
      </c>
      <c r="L314" s="13">
        <v>44887.363807870373</v>
      </c>
      <c r="M314" s="13">
        <v>44887.363807870373</v>
      </c>
      <c r="N314" s="13">
        <v>44886.598101851851</v>
      </c>
      <c r="O314" t="s">
        <v>1568</v>
      </c>
      <c r="P314" t="s">
        <v>99</v>
      </c>
      <c r="Q314" t="s">
        <v>99</v>
      </c>
      <c r="R314" t="s">
        <v>99</v>
      </c>
      <c r="S314" t="s">
        <v>99</v>
      </c>
      <c r="T314" t="s">
        <v>1218</v>
      </c>
      <c r="U314" t="s">
        <v>133</v>
      </c>
      <c r="V314" t="s">
        <v>4495</v>
      </c>
      <c r="W314" t="s">
        <v>4496</v>
      </c>
      <c r="X314" t="s">
        <v>1569</v>
      </c>
      <c r="Y314" t="s">
        <v>5215</v>
      </c>
      <c r="Z314" t="s">
        <v>99</v>
      </c>
    </row>
    <row r="315" spans="1:26">
      <c r="A315" t="s">
        <v>5216</v>
      </c>
      <c r="B315" t="s">
        <v>222</v>
      </c>
      <c r="C315">
        <v>2021</v>
      </c>
      <c r="D315" t="s">
        <v>1556</v>
      </c>
      <c r="E315" t="s">
        <v>1557</v>
      </c>
      <c r="F315" t="s">
        <v>1558</v>
      </c>
      <c r="G315" t="s">
        <v>1559</v>
      </c>
      <c r="H315" t="s">
        <v>99</v>
      </c>
      <c r="I315" t="s">
        <v>99</v>
      </c>
      <c r="J315" t="s">
        <v>1560</v>
      </c>
      <c r="K315" t="s">
        <v>113</v>
      </c>
      <c r="L315" s="13">
        <v>44887.363807870373</v>
      </c>
      <c r="M315" s="13">
        <v>44887.363807870373</v>
      </c>
      <c r="N315" s="13">
        <v>44886.598101851851</v>
      </c>
      <c r="O315" t="s">
        <v>1561</v>
      </c>
      <c r="P315" t="s">
        <v>99</v>
      </c>
      <c r="Q315" t="s">
        <v>5217</v>
      </c>
      <c r="R315" t="s">
        <v>99</v>
      </c>
      <c r="S315" t="s">
        <v>5218</v>
      </c>
      <c r="T315" t="s">
        <v>1226</v>
      </c>
      <c r="U315" t="s">
        <v>1227</v>
      </c>
      <c r="V315" t="s">
        <v>4495</v>
      </c>
      <c r="W315" t="s">
        <v>4496</v>
      </c>
      <c r="X315" t="s">
        <v>1562</v>
      </c>
      <c r="Y315" t="s">
        <v>5159</v>
      </c>
      <c r="Z315" t="s">
        <v>99</v>
      </c>
    </row>
    <row r="316" spans="1:26">
      <c r="A316" t="s">
        <v>5219</v>
      </c>
      <c r="B316" t="s">
        <v>222</v>
      </c>
      <c r="C316">
        <v>2020</v>
      </c>
      <c r="D316" t="s">
        <v>1542</v>
      </c>
      <c r="E316" t="s">
        <v>1543</v>
      </c>
      <c r="F316" t="s">
        <v>1544</v>
      </c>
      <c r="G316" t="s">
        <v>1545</v>
      </c>
      <c r="H316" t="s">
        <v>99</v>
      </c>
      <c r="I316" t="s">
        <v>99</v>
      </c>
      <c r="J316" t="s">
        <v>1546</v>
      </c>
      <c r="K316" t="s">
        <v>176</v>
      </c>
      <c r="L316" s="13">
        <v>44887.363807870373</v>
      </c>
      <c r="M316" s="13">
        <v>44887.363807870373</v>
      </c>
      <c r="N316" s="13">
        <v>44886.598090277781</v>
      </c>
      <c r="O316" t="s">
        <v>1547</v>
      </c>
      <c r="P316" t="s">
        <v>99</v>
      </c>
      <c r="Q316" t="s">
        <v>99</v>
      </c>
      <c r="R316" t="s">
        <v>99</v>
      </c>
      <c r="S316" t="s">
        <v>99</v>
      </c>
      <c r="T316" t="s">
        <v>1226</v>
      </c>
      <c r="U316" t="s">
        <v>1227</v>
      </c>
      <c r="V316" t="s">
        <v>4495</v>
      </c>
      <c r="W316" t="s">
        <v>4496</v>
      </c>
      <c r="X316" t="s">
        <v>1548</v>
      </c>
      <c r="Y316" t="s">
        <v>5220</v>
      </c>
      <c r="Z316" t="s">
        <v>99</v>
      </c>
    </row>
    <row r="317" spans="1:26">
      <c r="A317" t="s">
        <v>5221</v>
      </c>
      <c r="B317" t="s">
        <v>222</v>
      </c>
      <c r="C317">
        <v>2010</v>
      </c>
      <c r="D317" t="s">
        <v>1528</v>
      </c>
      <c r="E317" t="s">
        <v>1529</v>
      </c>
      <c r="F317" t="s">
        <v>1530</v>
      </c>
      <c r="G317" t="s">
        <v>1531</v>
      </c>
      <c r="H317" t="s">
        <v>99</v>
      </c>
      <c r="I317" t="s">
        <v>99</v>
      </c>
      <c r="J317" t="s">
        <v>1532</v>
      </c>
      <c r="K317" t="s">
        <v>130</v>
      </c>
      <c r="L317" s="13">
        <v>44887.363807870373</v>
      </c>
      <c r="M317" s="13">
        <v>44887.363807870373</v>
      </c>
      <c r="N317" s="13">
        <v>44886.598078703704</v>
      </c>
      <c r="O317" t="s">
        <v>1533</v>
      </c>
      <c r="P317" t="s">
        <v>99</v>
      </c>
      <c r="Q317" t="s">
        <v>5222</v>
      </c>
      <c r="R317" t="s">
        <v>99</v>
      </c>
      <c r="S317" t="s">
        <v>99</v>
      </c>
      <c r="T317" t="s">
        <v>1218</v>
      </c>
      <c r="U317" t="s">
        <v>133</v>
      </c>
      <c r="V317" t="s">
        <v>4495</v>
      </c>
      <c r="W317" t="s">
        <v>4496</v>
      </c>
      <c r="X317" t="s">
        <v>1534</v>
      </c>
      <c r="Y317" t="s">
        <v>5223</v>
      </c>
      <c r="Z317" t="s">
        <v>99</v>
      </c>
    </row>
    <row r="318" spans="1:26">
      <c r="A318" t="s">
        <v>5224</v>
      </c>
      <c r="B318" t="s">
        <v>222</v>
      </c>
      <c r="C318">
        <v>2016</v>
      </c>
      <c r="D318" t="s">
        <v>1585</v>
      </c>
      <c r="E318" t="s">
        <v>1586</v>
      </c>
      <c r="F318" t="s">
        <v>1244</v>
      </c>
      <c r="G318" t="s">
        <v>1245</v>
      </c>
      <c r="H318" t="s">
        <v>99</v>
      </c>
      <c r="I318" t="s">
        <v>99</v>
      </c>
      <c r="J318" t="s">
        <v>1587</v>
      </c>
      <c r="K318" t="s">
        <v>331</v>
      </c>
      <c r="L318" s="13">
        <v>44887.363807870373</v>
      </c>
      <c r="M318" s="13">
        <v>44887.363807870373</v>
      </c>
      <c r="N318" s="13">
        <v>44886.598124999997</v>
      </c>
      <c r="O318" t="s">
        <v>1588</v>
      </c>
      <c r="P318" t="s">
        <v>99</v>
      </c>
      <c r="Q318" t="s">
        <v>5225</v>
      </c>
      <c r="R318" t="s">
        <v>99</v>
      </c>
      <c r="S318" t="s">
        <v>99</v>
      </c>
      <c r="T318" t="s">
        <v>1226</v>
      </c>
      <c r="U318" t="s">
        <v>1227</v>
      </c>
      <c r="V318" t="s">
        <v>99</v>
      </c>
      <c r="W318" t="s">
        <v>4496</v>
      </c>
      <c r="X318" t="s">
        <v>1589</v>
      </c>
      <c r="Y318" t="s">
        <v>5226</v>
      </c>
      <c r="Z318" t="s">
        <v>99</v>
      </c>
    </row>
    <row r="319" spans="1:26">
      <c r="A319" t="s">
        <v>5227</v>
      </c>
      <c r="B319" t="s">
        <v>222</v>
      </c>
      <c r="C319">
        <v>2009</v>
      </c>
      <c r="D319" t="s">
        <v>1578</v>
      </c>
      <c r="E319" t="s">
        <v>1579</v>
      </c>
      <c r="F319" t="s">
        <v>1580</v>
      </c>
      <c r="G319" t="s">
        <v>1581</v>
      </c>
      <c r="H319" t="s">
        <v>99</v>
      </c>
      <c r="I319" t="s">
        <v>99</v>
      </c>
      <c r="J319" t="s">
        <v>1582</v>
      </c>
      <c r="K319" t="s">
        <v>615</v>
      </c>
      <c r="L319" s="13">
        <v>44887.363807870373</v>
      </c>
      <c r="M319" s="13">
        <v>44887.363807870373</v>
      </c>
      <c r="N319" s="13">
        <v>44886.598113425927</v>
      </c>
      <c r="O319" t="s">
        <v>1583</v>
      </c>
      <c r="P319" t="s">
        <v>99</v>
      </c>
      <c r="Q319" t="s">
        <v>4957</v>
      </c>
      <c r="R319" t="s">
        <v>99</v>
      </c>
      <c r="S319" t="s">
        <v>5228</v>
      </c>
      <c r="T319" t="s">
        <v>1218</v>
      </c>
      <c r="U319" t="s">
        <v>133</v>
      </c>
      <c r="V319" t="s">
        <v>4495</v>
      </c>
      <c r="W319" t="s">
        <v>4496</v>
      </c>
      <c r="X319" t="s">
        <v>1584</v>
      </c>
      <c r="Y319" t="s">
        <v>5229</v>
      </c>
      <c r="Z319" t="s">
        <v>99</v>
      </c>
    </row>
    <row r="320" spans="1:26">
      <c r="A320" t="s">
        <v>5230</v>
      </c>
      <c r="B320" t="s">
        <v>222</v>
      </c>
      <c r="C320">
        <v>2001</v>
      </c>
      <c r="D320" t="s">
        <v>1549</v>
      </c>
      <c r="E320" t="s">
        <v>1550</v>
      </c>
      <c r="F320" t="s">
        <v>1551</v>
      </c>
      <c r="G320" t="s">
        <v>1552</v>
      </c>
      <c r="H320" t="s">
        <v>99</v>
      </c>
      <c r="I320" t="s">
        <v>99</v>
      </c>
      <c r="J320" t="s">
        <v>1553</v>
      </c>
      <c r="K320" t="s">
        <v>755</v>
      </c>
      <c r="L320" s="13">
        <v>44887.363807870373</v>
      </c>
      <c r="M320" s="13">
        <v>44887.363807870373</v>
      </c>
      <c r="N320" s="13">
        <v>44886.598101851851</v>
      </c>
      <c r="O320" t="s">
        <v>1554</v>
      </c>
      <c r="P320" t="s">
        <v>99</v>
      </c>
      <c r="Q320" t="s">
        <v>99</v>
      </c>
      <c r="R320" t="s">
        <v>99</v>
      </c>
      <c r="S320" t="s">
        <v>99</v>
      </c>
      <c r="T320" t="s">
        <v>1218</v>
      </c>
      <c r="U320" t="s">
        <v>133</v>
      </c>
      <c r="V320" t="s">
        <v>5231</v>
      </c>
      <c r="W320" t="s">
        <v>4496</v>
      </c>
      <c r="X320" t="s">
        <v>1555</v>
      </c>
      <c r="Y320" t="s">
        <v>5232</v>
      </c>
      <c r="Z320" t="s">
        <v>99</v>
      </c>
    </row>
    <row r="321" spans="1:26">
      <c r="A321" t="s">
        <v>5233</v>
      </c>
      <c r="B321" t="s">
        <v>222</v>
      </c>
      <c r="C321">
        <v>2012</v>
      </c>
      <c r="D321" t="s">
        <v>1535</v>
      </c>
      <c r="E321" t="s">
        <v>1536</v>
      </c>
      <c r="F321" t="s">
        <v>1537</v>
      </c>
      <c r="G321" t="s">
        <v>1538</v>
      </c>
      <c r="H321" t="s">
        <v>99</v>
      </c>
      <c r="I321" t="s">
        <v>99</v>
      </c>
      <c r="J321" t="s">
        <v>1539</v>
      </c>
      <c r="K321" t="s">
        <v>351</v>
      </c>
      <c r="L321" s="13">
        <v>44887.363807870373</v>
      </c>
      <c r="M321" s="13">
        <v>44887.363807870373</v>
      </c>
      <c r="N321" s="13">
        <v>44886.598090277781</v>
      </c>
      <c r="O321" t="s">
        <v>1540</v>
      </c>
      <c r="P321" t="s">
        <v>99</v>
      </c>
      <c r="Q321" t="s">
        <v>4690</v>
      </c>
      <c r="R321" t="s">
        <v>99</v>
      </c>
      <c r="S321" t="s">
        <v>99</v>
      </c>
      <c r="T321" t="s">
        <v>1218</v>
      </c>
      <c r="U321" t="s">
        <v>133</v>
      </c>
      <c r="V321" t="s">
        <v>99</v>
      </c>
      <c r="W321" t="s">
        <v>4496</v>
      </c>
      <c r="X321" t="s">
        <v>1541</v>
      </c>
      <c r="Y321" t="s">
        <v>4692</v>
      </c>
      <c r="Z321" t="s">
        <v>99</v>
      </c>
    </row>
    <row r="322" spans="1:26">
      <c r="A322" t="s">
        <v>5234</v>
      </c>
      <c r="B322" t="s">
        <v>222</v>
      </c>
      <c r="C322">
        <v>2009</v>
      </c>
      <c r="D322" t="s">
        <v>1521</v>
      </c>
      <c r="E322" t="s">
        <v>1522</v>
      </c>
      <c r="F322" t="s">
        <v>1523</v>
      </c>
      <c r="G322" t="s">
        <v>1524</v>
      </c>
      <c r="H322" t="s">
        <v>99</v>
      </c>
      <c r="I322" t="s">
        <v>99</v>
      </c>
      <c r="J322" t="s">
        <v>1525</v>
      </c>
      <c r="K322" t="s">
        <v>615</v>
      </c>
      <c r="L322" s="13">
        <v>44887.363807870373</v>
      </c>
      <c r="M322" s="13">
        <v>44887.363807870373</v>
      </c>
      <c r="N322" s="13">
        <v>44886.598078703704</v>
      </c>
      <c r="O322" t="s">
        <v>1526</v>
      </c>
      <c r="P322" t="s">
        <v>99</v>
      </c>
      <c r="Q322" t="s">
        <v>5235</v>
      </c>
      <c r="R322" t="s">
        <v>99</v>
      </c>
      <c r="S322" t="s">
        <v>99</v>
      </c>
      <c r="T322" t="s">
        <v>1218</v>
      </c>
      <c r="U322" t="s">
        <v>133</v>
      </c>
      <c r="V322" t="s">
        <v>4495</v>
      </c>
      <c r="W322" t="s">
        <v>4496</v>
      </c>
      <c r="X322" t="s">
        <v>1527</v>
      </c>
      <c r="Y322" t="s">
        <v>5236</v>
      </c>
      <c r="Z322" t="s">
        <v>4568</v>
      </c>
    </row>
    <row r="323" spans="1:26">
      <c r="A323" t="s">
        <v>5237</v>
      </c>
      <c r="B323" t="s">
        <v>222</v>
      </c>
      <c r="C323">
        <v>2005</v>
      </c>
      <c r="D323" t="s">
        <v>1499</v>
      </c>
      <c r="E323" t="s">
        <v>1500</v>
      </c>
      <c r="F323" t="s">
        <v>1501</v>
      </c>
      <c r="G323" t="s">
        <v>1502</v>
      </c>
      <c r="H323" t="s">
        <v>99</v>
      </c>
      <c r="I323" t="s">
        <v>99</v>
      </c>
      <c r="J323" t="s">
        <v>1503</v>
      </c>
      <c r="K323" t="s">
        <v>846</v>
      </c>
      <c r="L323" s="13">
        <v>44887.363807870373</v>
      </c>
      <c r="M323" s="13">
        <v>44887.363807870373</v>
      </c>
      <c r="N323" s="13">
        <v>44886.598067129627</v>
      </c>
      <c r="O323" t="s">
        <v>1504</v>
      </c>
      <c r="P323" t="s">
        <v>99</v>
      </c>
      <c r="Q323" t="s">
        <v>4598</v>
      </c>
      <c r="R323" t="s">
        <v>99</v>
      </c>
      <c r="S323" t="s">
        <v>99</v>
      </c>
      <c r="T323" t="s">
        <v>1218</v>
      </c>
      <c r="U323" t="s">
        <v>133</v>
      </c>
      <c r="V323" t="s">
        <v>99</v>
      </c>
      <c r="W323" t="s">
        <v>4496</v>
      </c>
      <c r="X323" t="s">
        <v>1505</v>
      </c>
      <c r="Y323" t="s">
        <v>4599</v>
      </c>
      <c r="Z323" t="s">
        <v>4556</v>
      </c>
    </row>
    <row r="324" spans="1:26">
      <c r="A324" t="s">
        <v>5238</v>
      </c>
      <c r="B324" t="s">
        <v>135</v>
      </c>
      <c r="C324">
        <v>1999</v>
      </c>
      <c r="D324" t="s">
        <v>3611</v>
      </c>
      <c r="E324" t="s">
        <v>3612</v>
      </c>
      <c r="F324" t="s">
        <v>3613</v>
      </c>
      <c r="G324" t="s">
        <v>99</v>
      </c>
      <c r="H324" t="s">
        <v>3614</v>
      </c>
      <c r="I324" t="s">
        <v>3615</v>
      </c>
      <c r="J324" t="s">
        <v>3616</v>
      </c>
      <c r="K324" t="s">
        <v>3617</v>
      </c>
      <c r="L324" s="13">
        <v>44887.363807870373</v>
      </c>
      <c r="M324" s="13">
        <v>44887.363807870373</v>
      </c>
      <c r="N324" s="13">
        <v>44886.598333333335</v>
      </c>
      <c r="O324" t="s">
        <v>3618</v>
      </c>
      <c r="P324" t="s">
        <v>182</v>
      </c>
      <c r="Q324" t="s">
        <v>5239</v>
      </c>
      <c r="R324" t="s">
        <v>3613</v>
      </c>
      <c r="S324" t="s">
        <v>99</v>
      </c>
      <c r="T324" t="s">
        <v>99</v>
      </c>
      <c r="U324" t="s">
        <v>99</v>
      </c>
      <c r="V324" t="s">
        <v>99</v>
      </c>
      <c r="W324" t="s">
        <v>4496</v>
      </c>
      <c r="X324" t="s">
        <v>99</v>
      </c>
      <c r="Y324" t="s">
        <v>99</v>
      </c>
      <c r="Z324" t="s">
        <v>99</v>
      </c>
    </row>
    <row r="325" spans="1:26">
      <c r="A325" t="s">
        <v>5240</v>
      </c>
      <c r="B325" t="s">
        <v>222</v>
      </c>
      <c r="C325">
        <v>2004</v>
      </c>
      <c r="D325" t="s">
        <v>3604</v>
      </c>
      <c r="E325" t="s">
        <v>3605</v>
      </c>
      <c r="F325" t="s">
        <v>3606</v>
      </c>
      <c r="G325" t="s">
        <v>3607</v>
      </c>
      <c r="H325" t="s">
        <v>99</v>
      </c>
      <c r="I325" t="s">
        <v>99</v>
      </c>
      <c r="J325" t="s">
        <v>3608</v>
      </c>
      <c r="K325" t="s">
        <v>1180</v>
      </c>
      <c r="L325" s="13">
        <v>44887.363807870373</v>
      </c>
      <c r="M325" s="13">
        <v>44887.363807870373</v>
      </c>
      <c r="N325" s="13">
        <v>44886.598333333335</v>
      </c>
      <c r="O325" t="s">
        <v>3609</v>
      </c>
      <c r="P325" t="s">
        <v>99</v>
      </c>
      <c r="Q325" t="s">
        <v>5241</v>
      </c>
      <c r="R325" t="s">
        <v>99</v>
      </c>
      <c r="S325" t="s">
        <v>99</v>
      </c>
      <c r="T325" t="s">
        <v>1218</v>
      </c>
      <c r="U325" t="s">
        <v>133</v>
      </c>
      <c r="V325" t="s">
        <v>99</v>
      </c>
      <c r="W325" t="s">
        <v>4496</v>
      </c>
      <c r="X325" t="s">
        <v>3610</v>
      </c>
      <c r="Y325" t="s">
        <v>5242</v>
      </c>
      <c r="Z325" t="s">
        <v>4556</v>
      </c>
    </row>
    <row r="326" spans="1:26">
      <c r="A326" t="s">
        <v>5243</v>
      </c>
      <c r="B326" t="s">
        <v>222</v>
      </c>
      <c r="C326">
        <v>2013</v>
      </c>
      <c r="D326" t="s">
        <v>3598</v>
      </c>
      <c r="E326" t="s">
        <v>3599</v>
      </c>
      <c r="F326" t="s">
        <v>3600</v>
      </c>
      <c r="G326" t="s">
        <v>3601</v>
      </c>
      <c r="H326" t="s">
        <v>99</v>
      </c>
      <c r="I326" t="s">
        <v>99</v>
      </c>
      <c r="J326" t="s">
        <v>3602</v>
      </c>
      <c r="K326" t="s">
        <v>139</v>
      </c>
      <c r="L326" s="13">
        <v>44887.363807870373</v>
      </c>
      <c r="M326" s="13">
        <v>44887.363807870373</v>
      </c>
      <c r="N326" s="13">
        <v>44886.598333333335</v>
      </c>
      <c r="O326" t="s">
        <v>2922</v>
      </c>
      <c r="P326" t="s">
        <v>99</v>
      </c>
      <c r="Q326" t="s">
        <v>5244</v>
      </c>
      <c r="R326" t="s">
        <v>99</v>
      </c>
      <c r="S326" t="s">
        <v>99</v>
      </c>
      <c r="T326" t="s">
        <v>1218</v>
      </c>
      <c r="U326" t="s">
        <v>133</v>
      </c>
      <c r="V326" t="s">
        <v>99</v>
      </c>
      <c r="W326" t="s">
        <v>4496</v>
      </c>
      <c r="X326" t="s">
        <v>3603</v>
      </c>
      <c r="Y326" t="s">
        <v>5245</v>
      </c>
      <c r="Z326" t="s">
        <v>4568</v>
      </c>
    </row>
    <row r="327" spans="1:26">
      <c r="A327" t="s">
        <v>5246</v>
      </c>
      <c r="B327" t="s">
        <v>222</v>
      </c>
      <c r="C327">
        <v>2015</v>
      </c>
      <c r="D327" t="s">
        <v>2707</v>
      </c>
      <c r="E327" t="s">
        <v>2708</v>
      </c>
      <c r="F327" t="s">
        <v>2709</v>
      </c>
      <c r="G327" t="s">
        <v>5247</v>
      </c>
      <c r="H327" t="s">
        <v>99</v>
      </c>
      <c r="I327" t="s">
        <v>99</v>
      </c>
      <c r="J327" t="s">
        <v>5248</v>
      </c>
      <c r="K327" t="s">
        <v>564</v>
      </c>
      <c r="L327" s="13">
        <v>44887.363807870373</v>
      </c>
      <c r="M327" s="13">
        <v>44887.363807870373</v>
      </c>
      <c r="N327" s="13">
        <v>44886.598321759258</v>
      </c>
      <c r="O327" t="s">
        <v>5249</v>
      </c>
      <c r="P327" t="s">
        <v>99</v>
      </c>
      <c r="Q327" t="s">
        <v>99</v>
      </c>
      <c r="R327" t="s">
        <v>99</v>
      </c>
      <c r="S327" t="s">
        <v>99</v>
      </c>
      <c r="T327" t="s">
        <v>2713</v>
      </c>
      <c r="U327" t="s">
        <v>2714</v>
      </c>
      <c r="V327" t="s">
        <v>4495</v>
      </c>
      <c r="W327" t="s">
        <v>4496</v>
      </c>
      <c r="X327" t="s">
        <v>5250</v>
      </c>
      <c r="Y327" t="s">
        <v>4580</v>
      </c>
      <c r="Z327" t="s">
        <v>99</v>
      </c>
    </row>
    <row r="328" spans="1:26">
      <c r="A328" t="s">
        <v>5251</v>
      </c>
      <c r="B328" t="s">
        <v>135</v>
      </c>
      <c r="C328">
        <v>2017</v>
      </c>
      <c r="D328" t="s">
        <v>3576</v>
      </c>
      <c r="E328" t="s">
        <v>3577</v>
      </c>
      <c r="F328" t="s">
        <v>3578</v>
      </c>
      <c r="G328" t="s">
        <v>99</v>
      </c>
      <c r="H328" t="s">
        <v>3579</v>
      </c>
      <c r="I328" t="s">
        <v>3580</v>
      </c>
      <c r="J328" t="s">
        <v>3581</v>
      </c>
      <c r="K328" t="s">
        <v>3582</v>
      </c>
      <c r="L328" s="13">
        <v>44887.363807870373</v>
      </c>
      <c r="M328" s="13">
        <v>44887.363807870373</v>
      </c>
      <c r="N328" s="13">
        <v>44886.598310185182</v>
      </c>
      <c r="O328" t="s">
        <v>3583</v>
      </c>
      <c r="P328" t="s">
        <v>3584</v>
      </c>
      <c r="Q328" t="s">
        <v>4512</v>
      </c>
      <c r="R328" t="s">
        <v>5252</v>
      </c>
      <c r="S328" t="s">
        <v>99</v>
      </c>
      <c r="T328" t="s">
        <v>99</v>
      </c>
      <c r="U328" t="s">
        <v>99</v>
      </c>
      <c r="V328" t="s">
        <v>4495</v>
      </c>
      <c r="W328" t="s">
        <v>4496</v>
      </c>
      <c r="X328" t="s">
        <v>99</v>
      </c>
      <c r="Y328" t="s">
        <v>99</v>
      </c>
      <c r="Z328" t="s">
        <v>99</v>
      </c>
    </row>
    <row r="329" spans="1:26">
      <c r="A329" t="s">
        <v>5253</v>
      </c>
      <c r="B329" t="s">
        <v>222</v>
      </c>
      <c r="C329">
        <v>2017</v>
      </c>
      <c r="D329" t="s">
        <v>3570</v>
      </c>
      <c r="E329" t="s">
        <v>3571</v>
      </c>
      <c r="F329" t="s">
        <v>3572</v>
      </c>
      <c r="G329" t="s">
        <v>3573</v>
      </c>
      <c r="H329" t="s">
        <v>99</v>
      </c>
      <c r="I329" t="s">
        <v>99</v>
      </c>
      <c r="J329" t="s">
        <v>3574</v>
      </c>
      <c r="K329" t="s">
        <v>156</v>
      </c>
      <c r="L329" s="13">
        <v>44887.363807870373</v>
      </c>
      <c r="M329" s="13">
        <v>44887.363807870373</v>
      </c>
      <c r="N329" s="13">
        <v>44886.598310185182</v>
      </c>
      <c r="O329" t="s">
        <v>1946</v>
      </c>
      <c r="P329" t="s">
        <v>99</v>
      </c>
      <c r="Q329" t="s">
        <v>5254</v>
      </c>
      <c r="R329" t="s">
        <v>99</v>
      </c>
      <c r="S329" t="s">
        <v>99</v>
      </c>
      <c r="T329" t="s">
        <v>1226</v>
      </c>
      <c r="U329" t="s">
        <v>1227</v>
      </c>
      <c r="V329" t="s">
        <v>99</v>
      </c>
      <c r="W329" t="s">
        <v>4496</v>
      </c>
      <c r="X329" t="s">
        <v>3575</v>
      </c>
      <c r="Y329" t="s">
        <v>5255</v>
      </c>
      <c r="Z329" t="s">
        <v>99</v>
      </c>
    </row>
    <row r="330" spans="1:26">
      <c r="A330" t="s">
        <v>5256</v>
      </c>
      <c r="B330" t="s">
        <v>222</v>
      </c>
      <c r="C330">
        <v>2021</v>
      </c>
      <c r="D330" t="s">
        <v>3563</v>
      </c>
      <c r="E330" t="s">
        <v>3564</v>
      </c>
      <c r="F330" t="s">
        <v>3565</v>
      </c>
      <c r="G330" t="s">
        <v>3566</v>
      </c>
      <c r="H330" t="s">
        <v>99</v>
      </c>
      <c r="I330" t="s">
        <v>99</v>
      </c>
      <c r="J330" t="s">
        <v>3567</v>
      </c>
      <c r="K330" t="s">
        <v>113</v>
      </c>
      <c r="L330" s="13">
        <v>44887.363807870373</v>
      </c>
      <c r="M330" s="13">
        <v>44887.363807870373</v>
      </c>
      <c r="N330" s="13">
        <v>44886.598310185182</v>
      </c>
      <c r="O330" t="s">
        <v>3568</v>
      </c>
      <c r="P330" t="s">
        <v>99</v>
      </c>
      <c r="Q330" t="s">
        <v>5257</v>
      </c>
      <c r="R330" t="s">
        <v>99</v>
      </c>
      <c r="S330" t="s">
        <v>99</v>
      </c>
      <c r="T330" t="s">
        <v>1226</v>
      </c>
      <c r="U330" t="s">
        <v>1227</v>
      </c>
      <c r="V330" t="s">
        <v>4495</v>
      </c>
      <c r="W330" t="s">
        <v>4496</v>
      </c>
      <c r="X330" t="s">
        <v>3569</v>
      </c>
      <c r="Y330" t="s">
        <v>5258</v>
      </c>
      <c r="Z330" t="s">
        <v>99</v>
      </c>
    </row>
    <row r="331" spans="1:26">
      <c r="A331" t="s">
        <v>5259</v>
      </c>
      <c r="B331" t="s">
        <v>222</v>
      </c>
      <c r="C331">
        <v>2001</v>
      </c>
      <c r="D331" t="s">
        <v>3542</v>
      </c>
      <c r="E331" t="s">
        <v>3543</v>
      </c>
      <c r="F331" t="s">
        <v>3544</v>
      </c>
      <c r="G331" t="s">
        <v>3545</v>
      </c>
      <c r="H331" t="s">
        <v>99</v>
      </c>
      <c r="I331" t="s">
        <v>99</v>
      </c>
      <c r="J331" t="s">
        <v>3546</v>
      </c>
      <c r="K331" t="s">
        <v>755</v>
      </c>
      <c r="L331" s="13">
        <v>44887.363807870373</v>
      </c>
      <c r="M331" s="13">
        <v>44887.363807870373</v>
      </c>
      <c r="N331" s="13">
        <v>44886.598298611112</v>
      </c>
      <c r="O331" t="s">
        <v>3547</v>
      </c>
      <c r="P331" t="s">
        <v>99</v>
      </c>
      <c r="Q331" t="s">
        <v>5260</v>
      </c>
      <c r="R331" t="s">
        <v>99</v>
      </c>
      <c r="S331" t="s">
        <v>99</v>
      </c>
      <c r="T331" t="s">
        <v>1218</v>
      </c>
      <c r="U331" t="s">
        <v>133</v>
      </c>
      <c r="V331" t="s">
        <v>99</v>
      </c>
      <c r="W331" t="s">
        <v>4496</v>
      </c>
      <c r="X331" t="s">
        <v>3548</v>
      </c>
      <c r="Y331" t="s">
        <v>5261</v>
      </c>
      <c r="Z331" t="s">
        <v>4526</v>
      </c>
    </row>
    <row r="332" spans="1:26">
      <c r="A332" t="s">
        <v>5262</v>
      </c>
      <c r="B332" t="s">
        <v>222</v>
      </c>
      <c r="C332">
        <v>2004</v>
      </c>
      <c r="D332" t="s">
        <v>3535</v>
      </c>
      <c r="E332" t="s">
        <v>3536</v>
      </c>
      <c r="F332" t="s">
        <v>3537</v>
      </c>
      <c r="G332" t="s">
        <v>3538</v>
      </c>
      <c r="H332" t="s">
        <v>99</v>
      </c>
      <c r="I332" t="s">
        <v>99</v>
      </c>
      <c r="J332" t="s">
        <v>3539</v>
      </c>
      <c r="K332" t="s">
        <v>1180</v>
      </c>
      <c r="L332" s="13">
        <v>44887.363807870373</v>
      </c>
      <c r="M332" s="13">
        <v>44887.363807870373</v>
      </c>
      <c r="N332" s="13">
        <v>44886.598298611112</v>
      </c>
      <c r="O332" t="s">
        <v>3540</v>
      </c>
      <c r="P332" t="s">
        <v>99</v>
      </c>
      <c r="Q332" t="s">
        <v>5263</v>
      </c>
      <c r="R332" t="s">
        <v>99</v>
      </c>
      <c r="S332" t="s">
        <v>99</v>
      </c>
      <c r="T332" t="s">
        <v>1218</v>
      </c>
      <c r="U332" t="s">
        <v>133</v>
      </c>
      <c r="V332" t="s">
        <v>99</v>
      </c>
      <c r="W332" t="s">
        <v>4496</v>
      </c>
      <c r="X332" t="s">
        <v>3541</v>
      </c>
      <c r="Y332" t="s">
        <v>5264</v>
      </c>
      <c r="Z332" t="s">
        <v>4556</v>
      </c>
    </row>
    <row r="333" spans="1:26">
      <c r="A333" t="s">
        <v>5265</v>
      </c>
      <c r="B333" t="s">
        <v>222</v>
      </c>
      <c r="C333">
        <v>2011</v>
      </c>
      <c r="D333" t="s">
        <v>3585</v>
      </c>
      <c r="E333" t="s">
        <v>3586</v>
      </c>
      <c r="F333" t="s">
        <v>3587</v>
      </c>
      <c r="G333" t="s">
        <v>3588</v>
      </c>
      <c r="H333" t="s">
        <v>99</v>
      </c>
      <c r="I333" t="s">
        <v>99</v>
      </c>
      <c r="J333" t="s">
        <v>3589</v>
      </c>
      <c r="K333" t="s">
        <v>102</v>
      </c>
      <c r="L333" s="13">
        <v>44887.363807870373</v>
      </c>
      <c r="M333" s="13">
        <v>44887.363807870373</v>
      </c>
      <c r="N333" s="13">
        <v>44886.598321759258</v>
      </c>
      <c r="O333" t="s">
        <v>3590</v>
      </c>
      <c r="P333" t="s">
        <v>99</v>
      </c>
      <c r="Q333" t="s">
        <v>5266</v>
      </c>
      <c r="R333" t="s">
        <v>99</v>
      </c>
      <c r="S333" t="s">
        <v>99</v>
      </c>
      <c r="T333" t="s">
        <v>1218</v>
      </c>
      <c r="U333" t="s">
        <v>133</v>
      </c>
      <c r="V333" t="s">
        <v>99</v>
      </c>
      <c r="W333" t="s">
        <v>4496</v>
      </c>
      <c r="X333" t="s">
        <v>3591</v>
      </c>
      <c r="Y333" t="s">
        <v>5267</v>
      </c>
      <c r="Z333" t="s">
        <v>99</v>
      </c>
    </row>
    <row r="334" spans="1:26">
      <c r="A334" t="s">
        <v>5268</v>
      </c>
      <c r="B334" t="s">
        <v>222</v>
      </c>
      <c r="C334">
        <v>2014</v>
      </c>
      <c r="D334" t="s">
        <v>3556</v>
      </c>
      <c r="E334" t="s">
        <v>3557</v>
      </c>
      <c r="F334" t="s">
        <v>3558</v>
      </c>
      <c r="G334" t="s">
        <v>3559</v>
      </c>
      <c r="H334" t="s">
        <v>99</v>
      </c>
      <c r="I334" t="s">
        <v>99</v>
      </c>
      <c r="J334" t="s">
        <v>3560</v>
      </c>
      <c r="K334" t="s">
        <v>400</v>
      </c>
      <c r="L334" s="13">
        <v>44887.363807870373</v>
      </c>
      <c r="M334" s="13">
        <v>44887.363807870373</v>
      </c>
      <c r="N334" s="13">
        <v>44886.598310185182</v>
      </c>
      <c r="O334" t="s">
        <v>3561</v>
      </c>
      <c r="P334" t="s">
        <v>99</v>
      </c>
      <c r="Q334" t="s">
        <v>5269</v>
      </c>
      <c r="R334" t="s">
        <v>99</v>
      </c>
      <c r="S334" t="s">
        <v>99</v>
      </c>
      <c r="T334" t="s">
        <v>1218</v>
      </c>
      <c r="U334" t="s">
        <v>133</v>
      </c>
      <c r="V334" t="s">
        <v>99</v>
      </c>
      <c r="W334" t="s">
        <v>4496</v>
      </c>
      <c r="X334" t="s">
        <v>3562</v>
      </c>
      <c r="Y334" t="s">
        <v>5270</v>
      </c>
      <c r="Z334" t="s">
        <v>99</v>
      </c>
    </row>
    <row r="335" spans="1:26">
      <c r="A335" t="s">
        <v>5271</v>
      </c>
      <c r="B335" t="s">
        <v>222</v>
      </c>
      <c r="C335">
        <v>2020</v>
      </c>
      <c r="D335" t="s">
        <v>3549</v>
      </c>
      <c r="E335" t="s">
        <v>3550</v>
      </c>
      <c r="F335" t="s">
        <v>3551</v>
      </c>
      <c r="G335" t="s">
        <v>3552</v>
      </c>
      <c r="H335" t="s">
        <v>99</v>
      </c>
      <c r="I335" t="s">
        <v>99</v>
      </c>
      <c r="J335" t="s">
        <v>3553</v>
      </c>
      <c r="K335" t="s">
        <v>176</v>
      </c>
      <c r="L335" s="13">
        <v>44887.363807870373</v>
      </c>
      <c r="M335" s="13">
        <v>44887.363807870373</v>
      </c>
      <c r="N335" s="13">
        <v>44886.598310185182</v>
      </c>
      <c r="O335" t="s">
        <v>3554</v>
      </c>
      <c r="P335" t="s">
        <v>99</v>
      </c>
      <c r="Q335" t="s">
        <v>5272</v>
      </c>
      <c r="R335" t="s">
        <v>99</v>
      </c>
      <c r="S335" t="s">
        <v>99</v>
      </c>
      <c r="T335" t="s">
        <v>1226</v>
      </c>
      <c r="U335" t="s">
        <v>1227</v>
      </c>
      <c r="V335" t="s">
        <v>4495</v>
      </c>
      <c r="W335" t="s">
        <v>4496</v>
      </c>
      <c r="X335" t="s">
        <v>3555</v>
      </c>
      <c r="Y335" t="s">
        <v>5273</v>
      </c>
      <c r="Z335" t="s">
        <v>99</v>
      </c>
    </row>
    <row r="336" spans="1:26">
      <c r="A336" t="s">
        <v>5274</v>
      </c>
      <c r="B336" t="s">
        <v>135</v>
      </c>
      <c r="C336">
        <v>2022</v>
      </c>
      <c r="D336" t="s">
        <v>3523</v>
      </c>
      <c r="E336" t="s">
        <v>3524</v>
      </c>
      <c r="F336" t="s">
        <v>2898</v>
      </c>
      <c r="G336" t="s">
        <v>99</v>
      </c>
      <c r="H336" t="s">
        <v>2899</v>
      </c>
      <c r="I336" t="s">
        <v>3525</v>
      </c>
      <c r="J336" t="s">
        <v>3526</v>
      </c>
      <c r="K336" t="s">
        <v>1308</v>
      </c>
      <c r="L336" s="13">
        <v>44887.363807870373</v>
      </c>
      <c r="M336" s="13">
        <v>44887.363807870373</v>
      </c>
      <c r="N336" s="13">
        <v>44886.598287037035</v>
      </c>
      <c r="O336" t="s">
        <v>3527</v>
      </c>
      <c r="P336" t="s">
        <v>2904</v>
      </c>
      <c r="Q336" t="s">
        <v>5275</v>
      </c>
      <c r="R336" t="s">
        <v>4503</v>
      </c>
      <c r="S336" t="s">
        <v>5276</v>
      </c>
      <c r="T336" t="s">
        <v>99</v>
      </c>
      <c r="U336" t="s">
        <v>99</v>
      </c>
      <c r="V336" t="s">
        <v>4495</v>
      </c>
      <c r="W336" t="s">
        <v>4496</v>
      </c>
      <c r="X336" t="s">
        <v>99</v>
      </c>
      <c r="Y336" t="s">
        <v>99</v>
      </c>
      <c r="Z336" t="s">
        <v>99</v>
      </c>
    </row>
    <row r="337" spans="1:26">
      <c r="A337" t="s">
        <v>5277</v>
      </c>
      <c r="B337" t="s">
        <v>222</v>
      </c>
      <c r="C337">
        <v>2020</v>
      </c>
      <c r="D337" t="s">
        <v>3516</v>
      </c>
      <c r="E337" t="s">
        <v>3517</v>
      </c>
      <c r="F337" t="s">
        <v>3518</v>
      </c>
      <c r="G337" t="s">
        <v>3519</v>
      </c>
      <c r="H337" t="s">
        <v>99</v>
      </c>
      <c r="I337" t="s">
        <v>99</v>
      </c>
      <c r="J337" t="s">
        <v>3520</v>
      </c>
      <c r="K337" t="s">
        <v>176</v>
      </c>
      <c r="L337" s="13">
        <v>44887.363807870373</v>
      </c>
      <c r="M337" s="13">
        <v>44887.363807870373</v>
      </c>
      <c r="N337" s="13">
        <v>44886.598287037035</v>
      </c>
      <c r="O337" t="s">
        <v>3521</v>
      </c>
      <c r="P337" t="s">
        <v>99</v>
      </c>
      <c r="Q337" t="s">
        <v>5278</v>
      </c>
      <c r="R337" t="s">
        <v>99</v>
      </c>
      <c r="S337" t="s">
        <v>99</v>
      </c>
      <c r="T337" t="s">
        <v>1226</v>
      </c>
      <c r="U337" t="s">
        <v>1227</v>
      </c>
      <c r="V337" t="s">
        <v>4495</v>
      </c>
      <c r="W337" t="s">
        <v>4496</v>
      </c>
      <c r="X337" t="s">
        <v>3522</v>
      </c>
      <c r="Y337" t="s">
        <v>5279</v>
      </c>
      <c r="Z337" t="s">
        <v>99</v>
      </c>
    </row>
    <row r="338" spans="1:26">
      <c r="A338" t="s">
        <v>5280</v>
      </c>
      <c r="B338" t="s">
        <v>222</v>
      </c>
      <c r="C338">
        <v>2001</v>
      </c>
      <c r="D338" t="s">
        <v>2018</v>
      </c>
      <c r="E338" t="s">
        <v>3498</v>
      </c>
      <c r="F338" t="s">
        <v>3499</v>
      </c>
      <c r="G338" t="s">
        <v>3500</v>
      </c>
      <c r="H338" t="s">
        <v>99</v>
      </c>
      <c r="I338" t="s">
        <v>99</v>
      </c>
      <c r="J338" t="s">
        <v>3501</v>
      </c>
      <c r="K338" t="s">
        <v>755</v>
      </c>
      <c r="L338" s="13">
        <v>44887.363807870373</v>
      </c>
      <c r="M338" s="13">
        <v>44887.363807870373</v>
      </c>
      <c r="N338" s="13">
        <v>44886.598275462966</v>
      </c>
      <c r="O338" t="s">
        <v>3502</v>
      </c>
      <c r="P338" t="s">
        <v>99</v>
      </c>
      <c r="Q338" t="s">
        <v>5281</v>
      </c>
      <c r="R338" t="s">
        <v>99</v>
      </c>
      <c r="S338" t="s">
        <v>99</v>
      </c>
      <c r="T338" t="s">
        <v>1218</v>
      </c>
      <c r="U338" t="s">
        <v>133</v>
      </c>
      <c r="V338" t="s">
        <v>99</v>
      </c>
      <c r="W338" t="s">
        <v>4496</v>
      </c>
      <c r="X338" t="s">
        <v>3503</v>
      </c>
      <c r="Y338" t="s">
        <v>5282</v>
      </c>
      <c r="Z338" t="s">
        <v>5283</v>
      </c>
    </row>
    <row r="339" spans="1:26">
      <c r="A339" t="s">
        <v>5284</v>
      </c>
      <c r="B339" t="s">
        <v>222</v>
      </c>
      <c r="C339">
        <v>2006</v>
      </c>
      <c r="D339" t="s">
        <v>3478</v>
      </c>
      <c r="E339" t="s">
        <v>3479</v>
      </c>
      <c r="F339" t="s">
        <v>3480</v>
      </c>
      <c r="G339" t="s">
        <v>3481</v>
      </c>
      <c r="H339" t="s">
        <v>99</v>
      </c>
      <c r="I339" t="s">
        <v>99</v>
      </c>
      <c r="J339" t="s">
        <v>3482</v>
      </c>
      <c r="K339" t="s">
        <v>279</v>
      </c>
      <c r="L339" s="13">
        <v>44887.363807870373</v>
      </c>
      <c r="M339" s="13">
        <v>44887.363807870373</v>
      </c>
      <c r="N339" s="13">
        <v>44886.598263888889</v>
      </c>
      <c r="O339" t="s">
        <v>3483</v>
      </c>
      <c r="P339" t="s">
        <v>99</v>
      </c>
      <c r="Q339" t="s">
        <v>5285</v>
      </c>
      <c r="R339" t="s">
        <v>99</v>
      </c>
      <c r="S339" t="s">
        <v>99</v>
      </c>
      <c r="T339" t="s">
        <v>1218</v>
      </c>
      <c r="U339" t="s">
        <v>133</v>
      </c>
      <c r="V339" t="s">
        <v>99</v>
      </c>
      <c r="W339" t="s">
        <v>4496</v>
      </c>
      <c r="X339" t="s">
        <v>3484</v>
      </c>
      <c r="Y339" t="s">
        <v>5286</v>
      </c>
      <c r="Z339" t="s">
        <v>4556</v>
      </c>
    </row>
    <row r="340" spans="1:26">
      <c r="A340" t="s">
        <v>5287</v>
      </c>
      <c r="B340" t="s">
        <v>222</v>
      </c>
      <c r="C340">
        <v>2018</v>
      </c>
      <c r="D340" t="s">
        <v>3528</v>
      </c>
      <c r="E340" t="s">
        <v>3529</v>
      </c>
      <c r="F340" t="s">
        <v>3530</v>
      </c>
      <c r="G340" t="s">
        <v>3531</v>
      </c>
      <c r="H340" t="s">
        <v>99</v>
      </c>
      <c r="I340" t="s">
        <v>99</v>
      </c>
      <c r="J340" t="s">
        <v>3532</v>
      </c>
      <c r="K340" t="s">
        <v>384</v>
      </c>
      <c r="L340" s="13">
        <v>44887.363807870373</v>
      </c>
      <c r="M340" s="13">
        <v>44887.363807870373</v>
      </c>
      <c r="N340" s="13">
        <v>44886.598287037035</v>
      </c>
      <c r="O340" t="s">
        <v>3533</v>
      </c>
      <c r="P340" t="s">
        <v>99</v>
      </c>
      <c r="Q340" t="s">
        <v>5288</v>
      </c>
      <c r="R340" t="s">
        <v>99</v>
      </c>
      <c r="S340" t="s">
        <v>99</v>
      </c>
      <c r="T340" t="s">
        <v>1226</v>
      </c>
      <c r="U340" t="s">
        <v>1227</v>
      </c>
      <c r="V340" t="s">
        <v>4495</v>
      </c>
      <c r="W340" t="s">
        <v>4496</v>
      </c>
      <c r="X340" t="s">
        <v>3534</v>
      </c>
      <c r="Y340" t="s">
        <v>4602</v>
      </c>
      <c r="Z340" t="s">
        <v>99</v>
      </c>
    </row>
    <row r="341" spans="1:26">
      <c r="A341" t="s">
        <v>5289</v>
      </c>
      <c r="B341" t="s">
        <v>222</v>
      </c>
      <c r="C341">
        <v>2010</v>
      </c>
      <c r="D341" t="s">
        <v>3511</v>
      </c>
      <c r="E341" t="s">
        <v>3512</v>
      </c>
      <c r="F341" t="s">
        <v>2945</v>
      </c>
      <c r="G341" t="s">
        <v>2946</v>
      </c>
      <c r="H341" t="s">
        <v>99</v>
      </c>
      <c r="I341" t="s">
        <v>99</v>
      </c>
      <c r="J341" t="s">
        <v>3513</v>
      </c>
      <c r="K341" t="s">
        <v>130</v>
      </c>
      <c r="L341" s="13">
        <v>44887.363807870373</v>
      </c>
      <c r="M341" s="13">
        <v>44887.363807870373</v>
      </c>
      <c r="N341" s="13">
        <v>44886.598275462966</v>
      </c>
      <c r="O341" t="s">
        <v>3514</v>
      </c>
      <c r="P341" t="s">
        <v>99</v>
      </c>
      <c r="Q341" t="s">
        <v>4505</v>
      </c>
      <c r="R341" t="s">
        <v>99</v>
      </c>
      <c r="S341" t="s">
        <v>99</v>
      </c>
      <c r="T341" t="s">
        <v>1218</v>
      </c>
      <c r="U341" t="s">
        <v>133</v>
      </c>
      <c r="V341" t="s">
        <v>99</v>
      </c>
      <c r="W341" t="s">
        <v>4496</v>
      </c>
      <c r="X341" t="s">
        <v>3515</v>
      </c>
      <c r="Y341" t="s">
        <v>4507</v>
      </c>
      <c r="Z341" t="s">
        <v>99</v>
      </c>
    </row>
    <row r="342" spans="1:26">
      <c r="A342" t="s">
        <v>5290</v>
      </c>
      <c r="B342" t="s">
        <v>222</v>
      </c>
      <c r="C342">
        <v>2006</v>
      </c>
      <c r="D342" t="s">
        <v>3504</v>
      </c>
      <c r="E342" t="s">
        <v>3505</v>
      </c>
      <c r="F342" t="s">
        <v>3506</v>
      </c>
      <c r="G342" t="s">
        <v>3507</v>
      </c>
      <c r="H342" t="s">
        <v>99</v>
      </c>
      <c r="I342" t="s">
        <v>99</v>
      </c>
      <c r="J342" t="s">
        <v>3508</v>
      </c>
      <c r="K342" t="s">
        <v>279</v>
      </c>
      <c r="L342" s="13">
        <v>44887.363807870373</v>
      </c>
      <c r="M342" s="13">
        <v>44887.363807870373</v>
      </c>
      <c r="N342" s="13">
        <v>44886.598275462966</v>
      </c>
      <c r="O342" t="s">
        <v>3509</v>
      </c>
      <c r="P342" t="s">
        <v>99</v>
      </c>
      <c r="Q342" t="s">
        <v>5291</v>
      </c>
      <c r="R342" t="s">
        <v>99</v>
      </c>
      <c r="S342" t="s">
        <v>99</v>
      </c>
      <c r="T342" t="s">
        <v>1218</v>
      </c>
      <c r="U342" t="s">
        <v>133</v>
      </c>
      <c r="V342" t="s">
        <v>99</v>
      </c>
      <c r="W342" t="s">
        <v>4496</v>
      </c>
      <c r="X342" t="s">
        <v>3510</v>
      </c>
      <c r="Y342" t="s">
        <v>5292</v>
      </c>
      <c r="Z342" t="s">
        <v>4556</v>
      </c>
    </row>
    <row r="343" spans="1:26">
      <c r="A343" t="s">
        <v>5293</v>
      </c>
      <c r="B343" t="s">
        <v>222</v>
      </c>
      <c r="C343">
        <v>2012</v>
      </c>
      <c r="D343" t="s">
        <v>3492</v>
      </c>
      <c r="E343" t="s">
        <v>3493</v>
      </c>
      <c r="F343" t="s">
        <v>3227</v>
      </c>
      <c r="G343" t="s">
        <v>3494</v>
      </c>
      <c r="H343" t="s">
        <v>99</v>
      </c>
      <c r="I343" t="s">
        <v>99</v>
      </c>
      <c r="J343" t="s">
        <v>3495</v>
      </c>
      <c r="K343" t="s">
        <v>351</v>
      </c>
      <c r="L343" s="13">
        <v>44887.363807870373</v>
      </c>
      <c r="M343" s="13">
        <v>44887.363807870373</v>
      </c>
      <c r="N343" s="13">
        <v>44886.598263888889</v>
      </c>
      <c r="O343" t="s">
        <v>3496</v>
      </c>
      <c r="P343" t="s">
        <v>99</v>
      </c>
      <c r="Q343" t="s">
        <v>5294</v>
      </c>
      <c r="R343" t="s">
        <v>99</v>
      </c>
      <c r="S343" t="s">
        <v>99</v>
      </c>
      <c r="T343" t="s">
        <v>1218</v>
      </c>
      <c r="U343" t="s">
        <v>133</v>
      </c>
      <c r="V343" t="s">
        <v>99</v>
      </c>
      <c r="W343" t="s">
        <v>4496</v>
      </c>
      <c r="X343" t="s">
        <v>3497</v>
      </c>
      <c r="Y343" t="s">
        <v>5295</v>
      </c>
      <c r="Z343" t="s">
        <v>99</v>
      </c>
    </row>
    <row r="344" spans="1:26">
      <c r="A344" t="s">
        <v>5296</v>
      </c>
      <c r="B344" t="s">
        <v>222</v>
      </c>
      <c r="C344">
        <v>2022</v>
      </c>
      <c r="D344" t="s">
        <v>3485</v>
      </c>
      <c r="E344" t="s">
        <v>3486</v>
      </c>
      <c r="F344" t="s">
        <v>3487</v>
      </c>
      <c r="G344" t="s">
        <v>3488</v>
      </c>
      <c r="H344" t="s">
        <v>99</v>
      </c>
      <c r="I344" t="s">
        <v>99</v>
      </c>
      <c r="J344" t="s">
        <v>3489</v>
      </c>
      <c r="K344" t="s">
        <v>123</v>
      </c>
      <c r="L344" s="13">
        <v>44887.363807870373</v>
      </c>
      <c r="M344" s="13">
        <v>44887.363807870373</v>
      </c>
      <c r="N344" s="13">
        <v>44886.598263888889</v>
      </c>
      <c r="O344" t="s">
        <v>3490</v>
      </c>
      <c r="P344" t="s">
        <v>99</v>
      </c>
      <c r="Q344" t="s">
        <v>5297</v>
      </c>
      <c r="R344" t="s">
        <v>99</v>
      </c>
      <c r="S344" t="s">
        <v>99</v>
      </c>
      <c r="T344" t="s">
        <v>1362</v>
      </c>
      <c r="U344" t="s">
        <v>1363</v>
      </c>
      <c r="V344" t="s">
        <v>4495</v>
      </c>
      <c r="W344" t="s">
        <v>4496</v>
      </c>
      <c r="X344" t="s">
        <v>3491</v>
      </c>
      <c r="Y344" t="s">
        <v>5298</v>
      </c>
      <c r="Z344" t="s">
        <v>99</v>
      </c>
    </row>
    <row r="345" spans="1:26">
      <c r="A345" t="s">
        <v>5299</v>
      </c>
      <c r="B345" t="s">
        <v>222</v>
      </c>
      <c r="C345">
        <v>2015</v>
      </c>
      <c r="D345" t="s">
        <v>3464</v>
      </c>
      <c r="E345" t="s">
        <v>3465</v>
      </c>
      <c r="F345" t="s">
        <v>3466</v>
      </c>
      <c r="G345" t="s">
        <v>3467</v>
      </c>
      <c r="H345" t="s">
        <v>99</v>
      </c>
      <c r="I345" t="s">
        <v>99</v>
      </c>
      <c r="J345" t="s">
        <v>3468</v>
      </c>
      <c r="K345" t="s">
        <v>564</v>
      </c>
      <c r="L345" s="13">
        <v>44887.363807870373</v>
      </c>
      <c r="M345" s="13">
        <v>44887.363807870373</v>
      </c>
      <c r="N345" s="13">
        <v>44886.598252314812</v>
      </c>
      <c r="O345" t="s">
        <v>3469</v>
      </c>
      <c r="P345" t="s">
        <v>99</v>
      </c>
      <c r="Q345" t="s">
        <v>5300</v>
      </c>
      <c r="R345" t="s">
        <v>99</v>
      </c>
      <c r="S345" t="s">
        <v>99</v>
      </c>
      <c r="T345" t="s">
        <v>1226</v>
      </c>
      <c r="U345" t="s">
        <v>1227</v>
      </c>
      <c r="V345" t="s">
        <v>4495</v>
      </c>
      <c r="W345" t="s">
        <v>4496</v>
      </c>
      <c r="X345" t="s">
        <v>3470</v>
      </c>
      <c r="Y345" t="s">
        <v>5301</v>
      </c>
      <c r="Z345" t="s">
        <v>99</v>
      </c>
    </row>
    <row r="346" spans="1:26">
      <c r="A346" t="s">
        <v>5302</v>
      </c>
      <c r="B346" t="s">
        <v>222</v>
      </c>
      <c r="C346">
        <v>2013</v>
      </c>
      <c r="D346" t="s">
        <v>3457</v>
      </c>
      <c r="E346" t="s">
        <v>3458</v>
      </c>
      <c r="F346" t="s">
        <v>3459</v>
      </c>
      <c r="G346" t="s">
        <v>3460</v>
      </c>
      <c r="H346" t="s">
        <v>99</v>
      </c>
      <c r="I346" t="s">
        <v>99</v>
      </c>
      <c r="J346" t="s">
        <v>3461</v>
      </c>
      <c r="K346" t="s">
        <v>139</v>
      </c>
      <c r="L346" s="13">
        <v>44887.363807870373</v>
      </c>
      <c r="M346" s="13">
        <v>44887.363807870373</v>
      </c>
      <c r="N346" s="13">
        <v>44886.598240740743</v>
      </c>
      <c r="O346" t="s">
        <v>3462</v>
      </c>
      <c r="P346" t="s">
        <v>99</v>
      </c>
      <c r="Q346" t="s">
        <v>5303</v>
      </c>
      <c r="R346" t="s">
        <v>99</v>
      </c>
      <c r="S346" t="s">
        <v>99</v>
      </c>
      <c r="T346" t="s">
        <v>1218</v>
      </c>
      <c r="U346" t="s">
        <v>133</v>
      </c>
      <c r="V346" t="s">
        <v>99</v>
      </c>
      <c r="W346" t="s">
        <v>4496</v>
      </c>
      <c r="X346" t="s">
        <v>3463</v>
      </c>
      <c r="Y346" t="s">
        <v>5304</v>
      </c>
      <c r="Z346" t="s">
        <v>99</v>
      </c>
    </row>
    <row r="347" spans="1:26">
      <c r="A347" t="s">
        <v>5305</v>
      </c>
      <c r="B347" t="s">
        <v>222</v>
      </c>
      <c r="C347">
        <v>2013</v>
      </c>
      <c r="D347" t="s">
        <v>3451</v>
      </c>
      <c r="E347" t="s">
        <v>3452</v>
      </c>
      <c r="F347" t="s">
        <v>2691</v>
      </c>
      <c r="G347" t="s">
        <v>3453</v>
      </c>
      <c r="H347" t="s">
        <v>99</v>
      </c>
      <c r="I347" t="s">
        <v>99</v>
      </c>
      <c r="J347" t="s">
        <v>3454</v>
      </c>
      <c r="K347" t="s">
        <v>139</v>
      </c>
      <c r="L347" s="13">
        <v>44887.363807870373</v>
      </c>
      <c r="M347" s="13">
        <v>44887.363807870373</v>
      </c>
      <c r="N347" s="13">
        <v>44886.598240740743</v>
      </c>
      <c r="O347" t="s">
        <v>3455</v>
      </c>
      <c r="P347" t="s">
        <v>99</v>
      </c>
      <c r="Q347" t="s">
        <v>5306</v>
      </c>
      <c r="R347" t="s">
        <v>99</v>
      </c>
      <c r="S347" t="s">
        <v>99</v>
      </c>
      <c r="T347" t="s">
        <v>1218</v>
      </c>
      <c r="U347" t="s">
        <v>133</v>
      </c>
      <c r="V347" t="s">
        <v>4495</v>
      </c>
      <c r="W347" t="s">
        <v>4496</v>
      </c>
      <c r="X347" t="s">
        <v>3456</v>
      </c>
      <c r="Y347" t="s">
        <v>5307</v>
      </c>
      <c r="Z347" t="s">
        <v>4568</v>
      </c>
    </row>
    <row r="348" spans="1:26">
      <c r="A348" t="s">
        <v>5308</v>
      </c>
      <c r="B348" t="s">
        <v>222</v>
      </c>
      <c r="C348">
        <v>2013</v>
      </c>
      <c r="D348" t="s">
        <v>3446</v>
      </c>
      <c r="E348" t="s">
        <v>3447</v>
      </c>
      <c r="F348" t="s">
        <v>1826</v>
      </c>
      <c r="G348" t="s">
        <v>2062</v>
      </c>
      <c r="H348" t="s">
        <v>99</v>
      </c>
      <c r="I348" t="s">
        <v>99</v>
      </c>
      <c r="J348" t="s">
        <v>3448</v>
      </c>
      <c r="K348" t="s">
        <v>139</v>
      </c>
      <c r="L348" s="13">
        <v>44887.363807870373</v>
      </c>
      <c r="M348" s="13">
        <v>44887.363807870373</v>
      </c>
      <c r="N348" s="13">
        <v>44886.598240740743</v>
      </c>
      <c r="O348" t="s">
        <v>3449</v>
      </c>
      <c r="P348" t="s">
        <v>99</v>
      </c>
      <c r="Q348" t="s">
        <v>4676</v>
      </c>
      <c r="R348" t="s">
        <v>99</v>
      </c>
      <c r="S348" t="s">
        <v>99</v>
      </c>
      <c r="T348" t="s">
        <v>1226</v>
      </c>
      <c r="U348" t="s">
        <v>1227</v>
      </c>
      <c r="V348" t="s">
        <v>99</v>
      </c>
      <c r="W348" t="s">
        <v>4496</v>
      </c>
      <c r="X348" t="s">
        <v>3450</v>
      </c>
      <c r="Y348" t="s">
        <v>4677</v>
      </c>
      <c r="Z348" t="s">
        <v>4568</v>
      </c>
    </row>
    <row r="349" spans="1:26">
      <c r="A349" t="s">
        <v>5309</v>
      </c>
      <c r="B349" t="s">
        <v>222</v>
      </c>
      <c r="C349">
        <v>2018</v>
      </c>
      <c r="D349" t="s">
        <v>3439</v>
      </c>
      <c r="E349" t="s">
        <v>3440</v>
      </c>
      <c r="F349" t="s">
        <v>3441</v>
      </c>
      <c r="G349" t="s">
        <v>3442</v>
      </c>
      <c r="H349" t="s">
        <v>99</v>
      </c>
      <c r="I349" t="s">
        <v>99</v>
      </c>
      <c r="J349" t="s">
        <v>3443</v>
      </c>
      <c r="K349" t="s">
        <v>384</v>
      </c>
      <c r="L349" s="13">
        <v>44887.363807870373</v>
      </c>
      <c r="M349" s="13">
        <v>44887.363807870373</v>
      </c>
      <c r="N349" s="13">
        <v>44886.598240740743</v>
      </c>
      <c r="O349" t="s">
        <v>3444</v>
      </c>
      <c r="P349" t="s">
        <v>99</v>
      </c>
      <c r="Q349" t="s">
        <v>5310</v>
      </c>
      <c r="R349" t="s">
        <v>99</v>
      </c>
      <c r="S349" t="s">
        <v>5311</v>
      </c>
      <c r="T349" t="s">
        <v>1226</v>
      </c>
      <c r="U349" t="s">
        <v>1227</v>
      </c>
      <c r="V349" t="s">
        <v>4495</v>
      </c>
      <c r="W349" t="s">
        <v>4496</v>
      </c>
      <c r="X349" t="s">
        <v>3445</v>
      </c>
      <c r="Y349" t="s">
        <v>5312</v>
      </c>
      <c r="Z349" t="s">
        <v>99</v>
      </c>
    </row>
    <row r="350" spans="1:26">
      <c r="A350" t="s">
        <v>5313</v>
      </c>
      <c r="B350" t="s">
        <v>222</v>
      </c>
      <c r="C350">
        <v>2015</v>
      </c>
      <c r="D350" t="s">
        <v>3434</v>
      </c>
      <c r="E350" t="s">
        <v>3435</v>
      </c>
      <c r="F350" t="s">
        <v>3335</v>
      </c>
      <c r="G350" t="s">
        <v>3336</v>
      </c>
      <c r="H350" t="s">
        <v>99</v>
      </c>
      <c r="I350" t="s">
        <v>99</v>
      </c>
      <c r="J350" t="s">
        <v>3436</v>
      </c>
      <c r="K350" t="s">
        <v>564</v>
      </c>
      <c r="L350" s="13">
        <v>44887.363807870373</v>
      </c>
      <c r="M350" s="13">
        <v>44887.363807870373</v>
      </c>
      <c r="N350" s="13">
        <v>44886.598240740743</v>
      </c>
      <c r="O350" t="s">
        <v>3437</v>
      </c>
      <c r="P350" t="s">
        <v>99</v>
      </c>
      <c r="Q350" t="s">
        <v>5314</v>
      </c>
      <c r="R350" t="s">
        <v>99</v>
      </c>
      <c r="S350" t="s">
        <v>5315</v>
      </c>
      <c r="T350" t="s">
        <v>1226</v>
      </c>
      <c r="U350" t="s">
        <v>1227</v>
      </c>
      <c r="V350" t="s">
        <v>99</v>
      </c>
      <c r="W350" t="s">
        <v>4496</v>
      </c>
      <c r="X350" t="s">
        <v>3438</v>
      </c>
      <c r="Y350" t="s">
        <v>5316</v>
      </c>
      <c r="Z350" t="s">
        <v>99</v>
      </c>
    </row>
    <row r="351" spans="1:26">
      <c r="A351" t="s">
        <v>5317</v>
      </c>
      <c r="B351" t="s">
        <v>222</v>
      </c>
      <c r="C351">
        <v>2016</v>
      </c>
      <c r="D351" t="s">
        <v>3471</v>
      </c>
      <c r="E351" t="s">
        <v>3472</v>
      </c>
      <c r="F351" t="s">
        <v>3473</v>
      </c>
      <c r="G351" t="s">
        <v>3474</v>
      </c>
      <c r="H351" t="s">
        <v>99</v>
      </c>
      <c r="I351" t="s">
        <v>99</v>
      </c>
      <c r="J351" t="s">
        <v>3475</v>
      </c>
      <c r="K351" t="s">
        <v>331</v>
      </c>
      <c r="L351" s="13">
        <v>44887.363807870373</v>
      </c>
      <c r="M351" s="13">
        <v>44887.363807870373</v>
      </c>
      <c r="N351" s="13">
        <v>44886.598252314812</v>
      </c>
      <c r="O351" t="s">
        <v>3476</v>
      </c>
      <c r="P351" t="s">
        <v>99</v>
      </c>
      <c r="Q351" t="s">
        <v>5318</v>
      </c>
      <c r="R351" t="s">
        <v>99</v>
      </c>
      <c r="S351" t="s">
        <v>5319</v>
      </c>
      <c r="T351" t="s">
        <v>1226</v>
      </c>
      <c r="U351" t="s">
        <v>1227</v>
      </c>
      <c r="V351" t="s">
        <v>99</v>
      </c>
      <c r="W351" t="s">
        <v>4496</v>
      </c>
      <c r="X351" t="s">
        <v>3477</v>
      </c>
      <c r="Y351" t="s">
        <v>5320</v>
      </c>
      <c r="Z351" t="s">
        <v>99</v>
      </c>
    </row>
    <row r="352" spans="1:26">
      <c r="A352" t="s">
        <v>5321</v>
      </c>
      <c r="B352" t="s">
        <v>222</v>
      </c>
      <c r="C352">
        <v>2009</v>
      </c>
      <c r="D352" t="s">
        <v>3427</v>
      </c>
      <c r="E352" t="s">
        <v>3428</v>
      </c>
      <c r="F352" t="s">
        <v>3429</v>
      </c>
      <c r="G352" t="s">
        <v>3430</v>
      </c>
      <c r="H352" t="s">
        <v>99</v>
      </c>
      <c r="I352" t="s">
        <v>99</v>
      </c>
      <c r="J352" t="s">
        <v>3431</v>
      </c>
      <c r="K352" t="s">
        <v>615</v>
      </c>
      <c r="L352" s="13">
        <v>44887.363807870373</v>
      </c>
      <c r="M352" s="13">
        <v>44887.363807870373</v>
      </c>
      <c r="N352" s="13">
        <v>44886.598240740743</v>
      </c>
      <c r="O352" t="s">
        <v>3432</v>
      </c>
      <c r="P352" t="s">
        <v>99</v>
      </c>
      <c r="Q352" t="s">
        <v>5322</v>
      </c>
      <c r="R352" t="s">
        <v>99</v>
      </c>
      <c r="S352" t="s">
        <v>99</v>
      </c>
      <c r="T352" t="s">
        <v>1218</v>
      </c>
      <c r="U352" t="s">
        <v>133</v>
      </c>
      <c r="V352" t="s">
        <v>99</v>
      </c>
      <c r="W352" t="s">
        <v>4496</v>
      </c>
      <c r="X352" t="s">
        <v>3433</v>
      </c>
      <c r="Y352" t="s">
        <v>5323</v>
      </c>
      <c r="Z352" t="s">
        <v>99</v>
      </c>
    </row>
    <row r="353" spans="1:26">
      <c r="A353" t="s">
        <v>5324</v>
      </c>
      <c r="B353" t="s">
        <v>222</v>
      </c>
      <c r="C353">
        <v>2020</v>
      </c>
      <c r="D353" t="s">
        <v>3421</v>
      </c>
      <c r="E353" t="s">
        <v>3422</v>
      </c>
      <c r="F353" t="s">
        <v>3423</v>
      </c>
      <c r="G353" t="s">
        <v>3424</v>
      </c>
      <c r="H353" t="s">
        <v>99</v>
      </c>
      <c r="I353" t="s">
        <v>99</v>
      </c>
      <c r="J353" t="s">
        <v>3425</v>
      </c>
      <c r="K353" t="s">
        <v>176</v>
      </c>
      <c r="L353" s="13">
        <v>44887.363807870373</v>
      </c>
      <c r="M353" s="13">
        <v>44887.363807870373</v>
      </c>
      <c r="N353" s="13">
        <v>44886.598229166666</v>
      </c>
      <c r="O353" t="s">
        <v>646</v>
      </c>
      <c r="P353" t="s">
        <v>99</v>
      </c>
      <c r="Q353" t="s">
        <v>5325</v>
      </c>
      <c r="R353" t="s">
        <v>99</v>
      </c>
      <c r="S353" t="s">
        <v>5326</v>
      </c>
      <c r="T353" t="s">
        <v>1226</v>
      </c>
      <c r="U353" t="s">
        <v>1227</v>
      </c>
      <c r="V353" t="s">
        <v>4495</v>
      </c>
      <c r="W353" t="s">
        <v>4496</v>
      </c>
      <c r="X353" t="s">
        <v>3426</v>
      </c>
      <c r="Y353" t="s">
        <v>5327</v>
      </c>
      <c r="Z353" t="s">
        <v>99</v>
      </c>
    </row>
    <row r="354" spans="1:26">
      <c r="A354" t="s">
        <v>5328</v>
      </c>
      <c r="B354" t="s">
        <v>222</v>
      </c>
      <c r="C354">
        <v>2020</v>
      </c>
      <c r="D354" t="s">
        <v>3416</v>
      </c>
      <c r="E354" t="s">
        <v>3417</v>
      </c>
      <c r="F354" t="s">
        <v>1630</v>
      </c>
      <c r="G354" t="s">
        <v>1631</v>
      </c>
      <c r="H354" t="s">
        <v>99</v>
      </c>
      <c r="I354" t="s">
        <v>99</v>
      </c>
      <c r="J354" t="s">
        <v>3418</v>
      </c>
      <c r="K354" t="s">
        <v>176</v>
      </c>
      <c r="L354" s="13">
        <v>44887.363807870373</v>
      </c>
      <c r="M354" s="13">
        <v>44887.363807870373</v>
      </c>
      <c r="N354" s="13">
        <v>44886.598217592589</v>
      </c>
      <c r="O354" t="s">
        <v>3419</v>
      </c>
      <c r="P354" t="s">
        <v>99</v>
      </c>
      <c r="Q354" t="s">
        <v>5200</v>
      </c>
      <c r="R354" t="s">
        <v>99</v>
      </c>
      <c r="S354" t="s">
        <v>5329</v>
      </c>
      <c r="T354" t="s">
        <v>1226</v>
      </c>
      <c r="U354" t="s">
        <v>1227</v>
      </c>
      <c r="V354" t="s">
        <v>4495</v>
      </c>
      <c r="W354" t="s">
        <v>4496</v>
      </c>
      <c r="X354" t="s">
        <v>3420</v>
      </c>
      <c r="Y354" t="s">
        <v>5202</v>
      </c>
      <c r="Z354" t="s">
        <v>99</v>
      </c>
    </row>
    <row r="355" spans="1:26">
      <c r="A355" t="s">
        <v>5330</v>
      </c>
      <c r="B355" t="s">
        <v>135</v>
      </c>
      <c r="C355">
        <v>2021</v>
      </c>
      <c r="D355" t="s">
        <v>3408</v>
      </c>
      <c r="E355" t="s">
        <v>3409</v>
      </c>
      <c r="F355" t="s">
        <v>3410</v>
      </c>
      <c r="G355" t="s">
        <v>99</v>
      </c>
      <c r="H355" t="s">
        <v>3411</v>
      </c>
      <c r="I355" t="s">
        <v>3412</v>
      </c>
      <c r="J355" t="s">
        <v>3413</v>
      </c>
      <c r="K355" t="s">
        <v>3414</v>
      </c>
      <c r="L355" s="13">
        <v>44887.363807870373</v>
      </c>
      <c r="M355" s="13">
        <v>44887.363807870373</v>
      </c>
      <c r="N355" s="13">
        <v>44886.598217592589</v>
      </c>
      <c r="O355" t="s">
        <v>3415</v>
      </c>
      <c r="P355" t="s">
        <v>363</v>
      </c>
      <c r="Q355" t="s">
        <v>5331</v>
      </c>
      <c r="R355" t="s">
        <v>3410</v>
      </c>
      <c r="S355" t="s">
        <v>99</v>
      </c>
      <c r="T355" t="s">
        <v>99</v>
      </c>
      <c r="U355" t="s">
        <v>99</v>
      </c>
      <c r="V355" t="s">
        <v>4495</v>
      </c>
      <c r="W355" t="s">
        <v>4496</v>
      </c>
      <c r="X355" t="s">
        <v>99</v>
      </c>
      <c r="Y355" t="s">
        <v>99</v>
      </c>
      <c r="Z355" t="s">
        <v>99</v>
      </c>
    </row>
    <row r="356" spans="1:26">
      <c r="A356" t="s">
        <v>5332</v>
      </c>
      <c r="B356" t="s">
        <v>135</v>
      </c>
      <c r="C356">
        <v>2015</v>
      </c>
      <c r="D356" t="s">
        <v>3400</v>
      </c>
      <c r="E356" t="s">
        <v>3401</v>
      </c>
      <c r="F356" t="s">
        <v>3402</v>
      </c>
      <c r="G356" t="s">
        <v>99</v>
      </c>
      <c r="H356" t="s">
        <v>3403</v>
      </c>
      <c r="I356" t="s">
        <v>3404</v>
      </c>
      <c r="J356" t="s">
        <v>3405</v>
      </c>
      <c r="K356" t="s">
        <v>3406</v>
      </c>
      <c r="L356" s="13">
        <v>44887.363807870373</v>
      </c>
      <c r="M356" s="13">
        <v>44887.363807870373</v>
      </c>
      <c r="N356" s="13">
        <v>44886.59820601852</v>
      </c>
      <c r="O356" t="s">
        <v>3407</v>
      </c>
      <c r="P356" t="s">
        <v>182</v>
      </c>
      <c r="Q356" t="s">
        <v>5333</v>
      </c>
      <c r="R356" t="s">
        <v>5334</v>
      </c>
      <c r="S356" t="s">
        <v>99</v>
      </c>
      <c r="T356" t="s">
        <v>99</v>
      </c>
      <c r="U356" t="s">
        <v>99</v>
      </c>
      <c r="V356" t="s">
        <v>4495</v>
      </c>
      <c r="W356" t="s">
        <v>4496</v>
      </c>
      <c r="X356" t="s">
        <v>99</v>
      </c>
      <c r="Y356" t="s">
        <v>99</v>
      </c>
      <c r="Z356" t="s">
        <v>99</v>
      </c>
    </row>
    <row r="357" spans="1:26">
      <c r="A357" t="s">
        <v>5335</v>
      </c>
      <c r="B357" t="s">
        <v>222</v>
      </c>
      <c r="C357">
        <v>2018</v>
      </c>
      <c r="D357" t="s">
        <v>3394</v>
      </c>
      <c r="E357" t="s">
        <v>3395</v>
      </c>
      <c r="F357" t="s">
        <v>1244</v>
      </c>
      <c r="G357" t="s">
        <v>3396</v>
      </c>
      <c r="H357" t="s">
        <v>99</v>
      </c>
      <c r="I357" t="s">
        <v>99</v>
      </c>
      <c r="J357" t="s">
        <v>3397</v>
      </c>
      <c r="K357" t="s">
        <v>384</v>
      </c>
      <c r="L357" s="13">
        <v>44887.363807870373</v>
      </c>
      <c r="M357" s="13">
        <v>44887.363807870373</v>
      </c>
      <c r="N357" s="13">
        <v>44886.59820601852</v>
      </c>
      <c r="O357" t="s">
        <v>3398</v>
      </c>
      <c r="P357" t="s">
        <v>99</v>
      </c>
      <c r="Q357" t="s">
        <v>5336</v>
      </c>
      <c r="R357" t="s">
        <v>99</v>
      </c>
      <c r="S357" t="s">
        <v>5337</v>
      </c>
      <c r="T357" t="s">
        <v>1226</v>
      </c>
      <c r="U357" t="s">
        <v>1227</v>
      </c>
      <c r="V357" t="s">
        <v>99</v>
      </c>
      <c r="W357" t="s">
        <v>4496</v>
      </c>
      <c r="X357" t="s">
        <v>3399</v>
      </c>
      <c r="Y357" t="s">
        <v>5338</v>
      </c>
      <c r="Z357" t="s">
        <v>99</v>
      </c>
    </row>
    <row r="358" spans="1:26">
      <c r="A358" t="s">
        <v>5339</v>
      </c>
      <c r="B358" t="s">
        <v>222</v>
      </c>
      <c r="C358">
        <v>2016</v>
      </c>
      <c r="D358" t="s">
        <v>3104</v>
      </c>
      <c r="E358" t="s">
        <v>3389</v>
      </c>
      <c r="F358" t="s">
        <v>3149</v>
      </c>
      <c r="G358" t="s">
        <v>3390</v>
      </c>
      <c r="H358" t="s">
        <v>99</v>
      </c>
      <c r="I358" t="s">
        <v>99</v>
      </c>
      <c r="J358" t="s">
        <v>3391</v>
      </c>
      <c r="K358" t="s">
        <v>331</v>
      </c>
      <c r="L358" s="13">
        <v>44887.363807870373</v>
      </c>
      <c r="M358" s="13">
        <v>44887.363807870373</v>
      </c>
      <c r="N358" s="13">
        <v>44886.598194444443</v>
      </c>
      <c r="O358" t="s">
        <v>3392</v>
      </c>
      <c r="P358" t="s">
        <v>99</v>
      </c>
      <c r="Q358" t="s">
        <v>5340</v>
      </c>
      <c r="R358" t="s">
        <v>99</v>
      </c>
      <c r="S358" t="s">
        <v>99</v>
      </c>
      <c r="T358" t="s">
        <v>1226</v>
      </c>
      <c r="U358" t="s">
        <v>1227</v>
      </c>
      <c r="V358" t="s">
        <v>99</v>
      </c>
      <c r="W358" t="s">
        <v>4496</v>
      </c>
      <c r="X358" t="s">
        <v>3393</v>
      </c>
      <c r="Y358" t="s">
        <v>5341</v>
      </c>
      <c r="Z358" t="s">
        <v>99</v>
      </c>
    </row>
    <row r="359" spans="1:26">
      <c r="A359" t="s">
        <v>5342</v>
      </c>
      <c r="B359" t="s">
        <v>222</v>
      </c>
      <c r="C359">
        <v>2012</v>
      </c>
      <c r="D359" t="s">
        <v>3382</v>
      </c>
      <c r="E359" t="s">
        <v>3383</v>
      </c>
      <c r="F359" t="s">
        <v>3384</v>
      </c>
      <c r="G359" t="s">
        <v>3385</v>
      </c>
      <c r="H359" t="s">
        <v>99</v>
      </c>
      <c r="I359" t="s">
        <v>99</v>
      </c>
      <c r="J359" t="s">
        <v>3386</v>
      </c>
      <c r="K359" t="s">
        <v>351</v>
      </c>
      <c r="L359" s="13">
        <v>44887.363807870373</v>
      </c>
      <c r="M359" s="13">
        <v>44887.363807870373</v>
      </c>
      <c r="N359" s="13">
        <v>44886.598194444443</v>
      </c>
      <c r="O359" t="s">
        <v>3387</v>
      </c>
      <c r="P359" t="s">
        <v>99</v>
      </c>
      <c r="Q359" t="s">
        <v>5343</v>
      </c>
      <c r="R359" t="s">
        <v>99</v>
      </c>
      <c r="S359" t="s">
        <v>99</v>
      </c>
      <c r="T359" t="s">
        <v>1218</v>
      </c>
      <c r="U359" t="s">
        <v>133</v>
      </c>
      <c r="V359" t="s">
        <v>99</v>
      </c>
      <c r="W359" t="s">
        <v>4496</v>
      </c>
      <c r="X359" t="s">
        <v>3388</v>
      </c>
      <c r="Y359" t="s">
        <v>5344</v>
      </c>
      <c r="Z359" t="s">
        <v>4568</v>
      </c>
    </row>
    <row r="360" spans="1:26">
      <c r="A360" t="s">
        <v>5345</v>
      </c>
      <c r="B360" t="s">
        <v>222</v>
      </c>
      <c r="C360">
        <v>2022</v>
      </c>
      <c r="D360" t="s">
        <v>3375</v>
      </c>
      <c r="E360" t="s">
        <v>3376</v>
      </c>
      <c r="F360" t="s">
        <v>3377</v>
      </c>
      <c r="G360" t="s">
        <v>3378</v>
      </c>
      <c r="H360" t="s">
        <v>99</v>
      </c>
      <c r="I360" t="s">
        <v>99</v>
      </c>
      <c r="J360" t="s">
        <v>3379</v>
      </c>
      <c r="K360" t="s">
        <v>123</v>
      </c>
      <c r="L360" s="13">
        <v>44887.363807870373</v>
      </c>
      <c r="M360" s="13">
        <v>44887.363807870373</v>
      </c>
      <c r="N360" s="13">
        <v>44886.598194444443</v>
      </c>
      <c r="O360" t="s">
        <v>3380</v>
      </c>
      <c r="P360" t="s">
        <v>99</v>
      </c>
      <c r="Q360" t="s">
        <v>5346</v>
      </c>
      <c r="R360" t="s">
        <v>99</v>
      </c>
      <c r="S360" t="s">
        <v>99</v>
      </c>
      <c r="T360" t="s">
        <v>1226</v>
      </c>
      <c r="U360" t="s">
        <v>1227</v>
      </c>
      <c r="V360" t="s">
        <v>4495</v>
      </c>
      <c r="W360" t="s">
        <v>4496</v>
      </c>
      <c r="X360" t="s">
        <v>3381</v>
      </c>
      <c r="Y360" t="s">
        <v>5347</v>
      </c>
      <c r="Z360" t="s">
        <v>99</v>
      </c>
    </row>
    <row r="361" spans="1:26">
      <c r="A361" t="s">
        <v>5348</v>
      </c>
      <c r="B361" t="s">
        <v>222</v>
      </c>
      <c r="C361">
        <v>2018</v>
      </c>
      <c r="D361" t="s">
        <v>3368</v>
      </c>
      <c r="E361" t="s">
        <v>3369</v>
      </c>
      <c r="F361" t="s">
        <v>3370</v>
      </c>
      <c r="G361" t="s">
        <v>3371</v>
      </c>
      <c r="H361" t="s">
        <v>99</v>
      </c>
      <c r="I361" t="s">
        <v>99</v>
      </c>
      <c r="J361" t="s">
        <v>3372</v>
      </c>
      <c r="K361" t="s">
        <v>384</v>
      </c>
      <c r="L361" s="13">
        <v>44887.363807870373</v>
      </c>
      <c r="M361" s="13">
        <v>44887.363807870373</v>
      </c>
      <c r="N361" s="13">
        <v>44886.598194444443</v>
      </c>
      <c r="O361" t="s">
        <v>3373</v>
      </c>
      <c r="P361" t="s">
        <v>99</v>
      </c>
      <c r="Q361" t="s">
        <v>5349</v>
      </c>
      <c r="R361" t="s">
        <v>99</v>
      </c>
      <c r="S361" t="s">
        <v>99</v>
      </c>
      <c r="T361" t="s">
        <v>1226</v>
      </c>
      <c r="U361" t="s">
        <v>1227</v>
      </c>
      <c r="V361" t="s">
        <v>99</v>
      </c>
      <c r="W361" t="s">
        <v>4496</v>
      </c>
      <c r="X361" t="s">
        <v>3374</v>
      </c>
      <c r="Y361" t="s">
        <v>5350</v>
      </c>
      <c r="Z361" t="s">
        <v>99</v>
      </c>
    </row>
    <row r="362" spans="1:26">
      <c r="A362" t="s">
        <v>5351</v>
      </c>
      <c r="B362" t="s">
        <v>222</v>
      </c>
      <c r="C362">
        <v>2012</v>
      </c>
      <c r="D362" t="s">
        <v>3362</v>
      </c>
      <c r="E362" t="s">
        <v>3363</v>
      </c>
      <c r="F362" t="s">
        <v>2691</v>
      </c>
      <c r="G362" t="s">
        <v>3364</v>
      </c>
      <c r="H362" t="s">
        <v>99</v>
      </c>
      <c r="I362" t="s">
        <v>99</v>
      </c>
      <c r="J362" t="s">
        <v>3365</v>
      </c>
      <c r="K362" t="s">
        <v>351</v>
      </c>
      <c r="L362" s="13">
        <v>44887.363807870373</v>
      </c>
      <c r="M362" s="13">
        <v>44887.363807870373</v>
      </c>
      <c r="N362" s="13">
        <v>44886.598182870373</v>
      </c>
      <c r="O362" t="s">
        <v>3366</v>
      </c>
      <c r="P362" t="s">
        <v>99</v>
      </c>
      <c r="Q362" t="s">
        <v>5352</v>
      </c>
      <c r="R362" t="s">
        <v>99</v>
      </c>
      <c r="S362" t="s">
        <v>5353</v>
      </c>
      <c r="T362" t="s">
        <v>1218</v>
      </c>
      <c r="U362" t="s">
        <v>133</v>
      </c>
      <c r="V362" t="s">
        <v>99</v>
      </c>
      <c r="W362" t="s">
        <v>4496</v>
      </c>
      <c r="X362" t="s">
        <v>3367</v>
      </c>
      <c r="Y362" t="s">
        <v>5354</v>
      </c>
      <c r="Z362" t="s">
        <v>4568</v>
      </c>
    </row>
    <row r="363" spans="1:26">
      <c r="A363" t="s">
        <v>5355</v>
      </c>
      <c r="B363" t="s">
        <v>222</v>
      </c>
      <c r="C363">
        <v>2014</v>
      </c>
      <c r="D363" t="s">
        <v>3357</v>
      </c>
      <c r="E363" t="s">
        <v>3358</v>
      </c>
      <c r="F363" t="s">
        <v>2131</v>
      </c>
      <c r="G363" t="s">
        <v>2132</v>
      </c>
      <c r="H363" t="s">
        <v>99</v>
      </c>
      <c r="I363" t="s">
        <v>99</v>
      </c>
      <c r="J363" t="s">
        <v>3359</v>
      </c>
      <c r="K363" t="s">
        <v>400</v>
      </c>
      <c r="L363" s="13">
        <v>44887.363807870373</v>
      </c>
      <c r="M363" s="13">
        <v>44887.363807870373</v>
      </c>
      <c r="N363" s="13">
        <v>44886.598182870373</v>
      </c>
      <c r="O363" t="s">
        <v>3360</v>
      </c>
      <c r="P363" t="s">
        <v>99</v>
      </c>
      <c r="Q363" t="s">
        <v>5025</v>
      </c>
      <c r="R363" t="s">
        <v>99</v>
      </c>
      <c r="S363" t="s">
        <v>99</v>
      </c>
      <c r="T363" t="s">
        <v>1226</v>
      </c>
      <c r="U363" t="s">
        <v>1227</v>
      </c>
      <c r="V363" t="s">
        <v>99</v>
      </c>
      <c r="W363" t="s">
        <v>4496</v>
      </c>
      <c r="X363" t="s">
        <v>3361</v>
      </c>
      <c r="Y363" t="s">
        <v>5026</v>
      </c>
      <c r="Z363" t="s">
        <v>99</v>
      </c>
    </row>
    <row r="364" spans="1:26">
      <c r="A364" t="s">
        <v>5356</v>
      </c>
      <c r="B364" t="s">
        <v>222</v>
      </c>
      <c r="C364">
        <v>2015</v>
      </c>
      <c r="D364" t="s">
        <v>3352</v>
      </c>
      <c r="E364" t="s">
        <v>3353</v>
      </c>
      <c r="F364" t="s">
        <v>3335</v>
      </c>
      <c r="G364" t="s">
        <v>3336</v>
      </c>
      <c r="H364" t="s">
        <v>99</v>
      </c>
      <c r="I364" t="s">
        <v>99</v>
      </c>
      <c r="J364" t="s">
        <v>3354</v>
      </c>
      <c r="K364" t="s">
        <v>564</v>
      </c>
      <c r="L364" s="13">
        <v>44887.363807870373</v>
      </c>
      <c r="M364" s="13">
        <v>44887.363807870373</v>
      </c>
      <c r="N364" s="13">
        <v>44886.598182870373</v>
      </c>
      <c r="O364" t="s">
        <v>3355</v>
      </c>
      <c r="P364" t="s">
        <v>99</v>
      </c>
      <c r="Q364" t="s">
        <v>5314</v>
      </c>
      <c r="R364" t="s">
        <v>99</v>
      </c>
      <c r="S364" t="s">
        <v>99</v>
      </c>
      <c r="T364" t="s">
        <v>1226</v>
      </c>
      <c r="U364" t="s">
        <v>1227</v>
      </c>
      <c r="V364" t="s">
        <v>99</v>
      </c>
      <c r="W364" t="s">
        <v>4496</v>
      </c>
      <c r="X364" t="s">
        <v>3356</v>
      </c>
      <c r="Y364" t="s">
        <v>5316</v>
      </c>
      <c r="Z364" t="s">
        <v>99</v>
      </c>
    </row>
    <row r="365" spans="1:26">
      <c r="A365" t="s">
        <v>5357</v>
      </c>
      <c r="B365" t="s">
        <v>222</v>
      </c>
      <c r="C365">
        <v>2013</v>
      </c>
      <c r="D365" t="s">
        <v>3345</v>
      </c>
      <c r="E365" t="s">
        <v>3346</v>
      </c>
      <c r="F365" t="s">
        <v>3347</v>
      </c>
      <c r="G365" t="s">
        <v>3348</v>
      </c>
      <c r="H365" t="s">
        <v>99</v>
      </c>
      <c r="I365" t="s">
        <v>99</v>
      </c>
      <c r="J365" t="s">
        <v>3349</v>
      </c>
      <c r="K365" t="s">
        <v>139</v>
      </c>
      <c r="L365" s="13">
        <v>44887.363807870373</v>
      </c>
      <c r="M365" s="13">
        <v>44887.363807870373</v>
      </c>
      <c r="N365" s="13">
        <v>44886.598171296297</v>
      </c>
      <c r="O365" t="s">
        <v>3350</v>
      </c>
      <c r="P365" t="s">
        <v>99</v>
      </c>
      <c r="Q365" t="s">
        <v>5358</v>
      </c>
      <c r="R365" t="s">
        <v>99</v>
      </c>
      <c r="S365" t="s">
        <v>99</v>
      </c>
      <c r="T365" t="s">
        <v>1218</v>
      </c>
      <c r="U365" t="s">
        <v>133</v>
      </c>
      <c r="V365" t="s">
        <v>99</v>
      </c>
      <c r="W365" t="s">
        <v>4496</v>
      </c>
      <c r="X365" t="s">
        <v>3351</v>
      </c>
      <c r="Y365" t="s">
        <v>5359</v>
      </c>
      <c r="Z365" t="s">
        <v>99</v>
      </c>
    </row>
    <row r="366" spans="1:26">
      <c r="A366" t="s">
        <v>5360</v>
      </c>
      <c r="B366" t="s">
        <v>135</v>
      </c>
      <c r="C366">
        <v>2021</v>
      </c>
      <c r="D366" t="s">
        <v>3340</v>
      </c>
      <c r="E366" t="s">
        <v>3341</v>
      </c>
      <c r="F366" t="s">
        <v>1265</v>
      </c>
      <c r="G366" t="s">
        <v>99</v>
      </c>
      <c r="H366" t="s">
        <v>1266</v>
      </c>
      <c r="I366" t="s">
        <v>3342</v>
      </c>
      <c r="J366" t="s">
        <v>3343</v>
      </c>
      <c r="K366" t="s">
        <v>478</v>
      </c>
      <c r="L366" s="13">
        <v>44887.363807870373</v>
      </c>
      <c r="M366" s="13">
        <v>44887.363807870373</v>
      </c>
      <c r="N366" s="13">
        <v>44886.598171296297</v>
      </c>
      <c r="O366" t="s">
        <v>3344</v>
      </c>
      <c r="P366" t="s">
        <v>557</v>
      </c>
      <c r="Q366" t="s">
        <v>5361</v>
      </c>
      <c r="R366" t="s">
        <v>4513</v>
      </c>
      <c r="S366" t="s">
        <v>5362</v>
      </c>
      <c r="T366" t="s">
        <v>99</v>
      </c>
      <c r="U366" t="s">
        <v>99</v>
      </c>
      <c r="V366" t="s">
        <v>4495</v>
      </c>
      <c r="W366" t="s">
        <v>4496</v>
      </c>
      <c r="X366" t="s">
        <v>99</v>
      </c>
      <c r="Y366" t="s">
        <v>99</v>
      </c>
      <c r="Z366" t="s">
        <v>99</v>
      </c>
    </row>
    <row r="367" spans="1:26">
      <c r="A367" t="s">
        <v>5363</v>
      </c>
      <c r="B367" t="s">
        <v>222</v>
      </c>
      <c r="C367">
        <v>2014</v>
      </c>
      <c r="D367" t="s">
        <v>3326</v>
      </c>
      <c r="E367" t="s">
        <v>3327</v>
      </c>
      <c r="F367" t="s">
        <v>3328</v>
      </c>
      <c r="G367" t="s">
        <v>3329</v>
      </c>
      <c r="H367" t="s">
        <v>99</v>
      </c>
      <c r="I367" t="s">
        <v>99</v>
      </c>
      <c r="J367" t="s">
        <v>3330</v>
      </c>
      <c r="K367" t="s">
        <v>400</v>
      </c>
      <c r="L367" s="13">
        <v>44887.363807870373</v>
      </c>
      <c r="M367" s="13">
        <v>44887.363807870373</v>
      </c>
      <c r="N367" s="13">
        <v>44886.598171296297</v>
      </c>
      <c r="O367" t="s">
        <v>3331</v>
      </c>
      <c r="P367" t="s">
        <v>99</v>
      </c>
      <c r="Q367" t="s">
        <v>5364</v>
      </c>
      <c r="R367" t="s">
        <v>99</v>
      </c>
      <c r="S367" t="s">
        <v>99</v>
      </c>
      <c r="T367" t="s">
        <v>1226</v>
      </c>
      <c r="U367" t="s">
        <v>1227</v>
      </c>
      <c r="V367" t="s">
        <v>99</v>
      </c>
      <c r="W367" t="s">
        <v>4496</v>
      </c>
      <c r="X367" t="s">
        <v>3332</v>
      </c>
      <c r="Y367" t="s">
        <v>5365</v>
      </c>
      <c r="Z367" t="s">
        <v>99</v>
      </c>
    </row>
    <row r="368" spans="1:26">
      <c r="A368" t="s">
        <v>5366</v>
      </c>
      <c r="B368" t="s">
        <v>222</v>
      </c>
      <c r="C368">
        <v>2020</v>
      </c>
      <c r="D368" t="s">
        <v>3301</v>
      </c>
      <c r="E368" t="s">
        <v>3302</v>
      </c>
      <c r="F368" t="s">
        <v>3303</v>
      </c>
      <c r="G368" t="s">
        <v>3304</v>
      </c>
      <c r="H368" t="s">
        <v>99</v>
      </c>
      <c r="I368" t="s">
        <v>99</v>
      </c>
      <c r="J368" t="s">
        <v>3305</v>
      </c>
      <c r="K368" t="s">
        <v>176</v>
      </c>
      <c r="L368" s="13">
        <v>44887.363807870373</v>
      </c>
      <c r="M368" s="13">
        <v>44887.363807870373</v>
      </c>
      <c r="N368" s="13">
        <v>44886.59815972222</v>
      </c>
      <c r="O368" t="s">
        <v>3306</v>
      </c>
      <c r="P368" t="s">
        <v>99</v>
      </c>
      <c r="Q368" t="s">
        <v>5367</v>
      </c>
      <c r="R368" t="s">
        <v>99</v>
      </c>
      <c r="S368" t="s">
        <v>99</v>
      </c>
      <c r="T368" t="s">
        <v>1226</v>
      </c>
      <c r="U368" t="s">
        <v>1227</v>
      </c>
      <c r="V368" t="s">
        <v>4495</v>
      </c>
      <c r="W368" t="s">
        <v>4496</v>
      </c>
      <c r="X368" t="s">
        <v>3307</v>
      </c>
      <c r="Y368" t="s">
        <v>5368</v>
      </c>
      <c r="Z368" t="s">
        <v>99</v>
      </c>
    </row>
    <row r="369" spans="1:26">
      <c r="A369" t="s">
        <v>5369</v>
      </c>
      <c r="B369" t="s">
        <v>222</v>
      </c>
      <c r="C369">
        <v>2010</v>
      </c>
      <c r="D369" t="s">
        <v>3296</v>
      </c>
      <c r="E369" t="s">
        <v>3297</v>
      </c>
      <c r="F369" t="s">
        <v>3227</v>
      </c>
      <c r="G369" t="s">
        <v>3228</v>
      </c>
      <c r="H369" t="s">
        <v>99</v>
      </c>
      <c r="I369" t="s">
        <v>99</v>
      </c>
      <c r="J369" t="s">
        <v>3298</v>
      </c>
      <c r="K369" t="s">
        <v>130</v>
      </c>
      <c r="L369" s="13">
        <v>44887.363807870373</v>
      </c>
      <c r="M369" s="13">
        <v>44887.363807870373</v>
      </c>
      <c r="N369" s="13">
        <v>44886.59815972222</v>
      </c>
      <c r="O369" t="s">
        <v>3299</v>
      </c>
      <c r="P369" t="s">
        <v>99</v>
      </c>
      <c r="Q369" t="s">
        <v>5370</v>
      </c>
      <c r="R369" t="s">
        <v>99</v>
      </c>
      <c r="S369" t="s">
        <v>99</v>
      </c>
      <c r="T369" t="s">
        <v>1218</v>
      </c>
      <c r="U369" t="s">
        <v>133</v>
      </c>
      <c r="V369" t="s">
        <v>99</v>
      </c>
      <c r="W369" t="s">
        <v>4496</v>
      </c>
      <c r="X369" t="s">
        <v>3300</v>
      </c>
      <c r="Y369" t="s">
        <v>5371</v>
      </c>
      <c r="Z369" t="s">
        <v>99</v>
      </c>
    </row>
    <row r="370" spans="1:26">
      <c r="A370" t="s">
        <v>5372</v>
      </c>
      <c r="B370" t="s">
        <v>135</v>
      </c>
      <c r="C370">
        <v>2010</v>
      </c>
      <c r="D370" t="s">
        <v>3289</v>
      </c>
      <c r="E370" t="s">
        <v>3290</v>
      </c>
      <c r="F370" t="s">
        <v>1687</v>
      </c>
      <c r="G370" t="s">
        <v>99</v>
      </c>
      <c r="H370" t="s">
        <v>1688</v>
      </c>
      <c r="I370" t="s">
        <v>3291</v>
      </c>
      <c r="J370" t="s">
        <v>3292</v>
      </c>
      <c r="K370" t="s">
        <v>3293</v>
      </c>
      <c r="L370" s="13">
        <v>44887.363807870373</v>
      </c>
      <c r="M370" s="13">
        <v>44887.363807870373</v>
      </c>
      <c r="N370" s="13">
        <v>44886.59814814815</v>
      </c>
      <c r="O370" t="s">
        <v>3294</v>
      </c>
      <c r="P370" t="s">
        <v>3295</v>
      </c>
      <c r="Q370" t="s">
        <v>557</v>
      </c>
      <c r="R370" t="s">
        <v>4736</v>
      </c>
      <c r="S370" t="s">
        <v>99</v>
      </c>
      <c r="T370" t="s">
        <v>99</v>
      </c>
      <c r="U370" t="s">
        <v>99</v>
      </c>
      <c r="V370" t="s">
        <v>4495</v>
      </c>
      <c r="W370" t="s">
        <v>4496</v>
      </c>
      <c r="X370" t="s">
        <v>99</v>
      </c>
      <c r="Y370" t="s">
        <v>99</v>
      </c>
      <c r="Z370" t="s">
        <v>99</v>
      </c>
    </row>
    <row r="371" spans="1:26">
      <c r="A371" t="s">
        <v>5373</v>
      </c>
      <c r="B371" t="s">
        <v>222</v>
      </c>
      <c r="C371">
        <v>2015</v>
      </c>
      <c r="D371" t="s">
        <v>3333</v>
      </c>
      <c r="E371" t="s">
        <v>3334</v>
      </c>
      <c r="F371" t="s">
        <v>3335</v>
      </c>
      <c r="G371" t="s">
        <v>3336</v>
      </c>
      <c r="H371" t="s">
        <v>99</v>
      </c>
      <c r="I371" t="s">
        <v>99</v>
      </c>
      <c r="J371" t="s">
        <v>3337</v>
      </c>
      <c r="K371" t="s">
        <v>564</v>
      </c>
      <c r="L371" s="13">
        <v>44887.363807870373</v>
      </c>
      <c r="M371" s="13">
        <v>44887.363807870373</v>
      </c>
      <c r="N371" s="13">
        <v>44886.598171296297</v>
      </c>
      <c r="O371" t="s">
        <v>3338</v>
      </c>
      <c r="P371" t="s">
        <v>99</v>
      </c>
      <c r="Q371" t="s">
        <v>5314</v>
      </c>
      <c r="R371" t="s">
        <v>99</v>
      </c>
      <c r="S371" t="s">
        <v>99</v>
      </c>
      <c r="T371" t="s">
        <v>1226</v>
      </c>
      <c r="U371" t="s">
        <v>1227</v>
      </c>
      <c r="V371" t="s">
        <v>99</v>
      </c>
      <c r="W371" t="s">
        <v>4496</v>
      </c>
      <c r="X371" t="s">
        <v>3339</v>
      </c>
      <c r="Y371" t="s">
        <v>5316</v>
      </c>
      <c r="Z371" t="s">
        <v>99</v>
      </c>
    </row>
    <row r="372" spans="1:26">
      <c r="A372" t="s">
        <v>5374</v>
      </c>
      <c r="B372" t="s">
        <v>222</v>
      </c>
      <c r="C372">
        <v>2011</v>
      </c>
      <c r="D372" t="s">
        <v>3319</v>
      </c>
      <c r="E372" t="s">
        <v>3320</v>
      </c>
      <c r="F372" t="s">
        <v>3321</v>
      </c>
      <c r="G372" t="s">
        <v>3322</v>
      </c>
      <c r="H372" t="s">
        <v>99</v>
      </c>
      <c r="I372" t="s">
        <v>99</v>
      </c>
      <c r="J372" t="s">
        <v>3323</v>
      </c>
      <c r="K372" t="s">
        <v>102</v>
      </c>
      <c r="L372" s="13">
        <v>44887.363807870373</v>
      </c>
      <c r="M372" s="13">
        <v>44887.363807870373</v>
      </c>
      <c r="N372" s="13">
        <v>44886.598171296297</v>
      </c>
      <c r="O372" t="s">
        <v>3324</v>
      </c>
      <c r="P372" t="s">
        <v>99</v>
      </c>
      <c r="Q372" t="s">
        <v>5375</v>
      </c>
      <c r="R372" t="s">
        <v>99</v>
      </c>
      <c r="S372" t="s">
        <v>5376</v>
      </c>
      <c r="T372" t="s">
        <v>1218</v>
      </c>
      <c r="U372" t="s">
        <v>133</v>
      </c>
      <c r="V372" t="s">
        <v>99</v>
      </c>
      <c r="W372" t="s">
        <v>4496</v>
      </c>
      <c r="X372" t="s">
        <v>3325</v>
      </c>
      <c r="Y372" t="s">
        <v>5377</v>
      </c>
      <c r="Z372" t="s">
        <v>99</v>
      </c>
    </row>
    <row r="373" spans="1:26">
      <c r="A373" t="s">
        <v>5378</v>
      </c>
      <c r="B373" t="s">
        <v>135</v>
      </c>
      <c r="C373">
        <v>2014</v>
      </c>
      <c r="D373" t="s">
        <v>3314</v>
      </c>
      <c r="E373" t="s">
        <v>3315</v>
      </c>
      <c r="F373" t="s">
        <v>1687</v>
      </c>
      <c r="G373" t="s">
        <v>99</v>
      </c>
      <c r="H373" t="s">
        <v>1688</v>
      </c>
      <c r="I373" t="s">
        <v>3316</v>
      </c>
      <c r="J373" t="s">
        <v>3317</v>
      </c>
      <c r="K373" t="s">
        <v>2200</v>
      </c>
      <c r="L373" s="13">
        <v>44887.363807870373</v>
      </c>
      <c r="M373" s="13">
        <v>44887.363807870373</v>
      </c>
      <c r="N373" s="13">
        <v>44886.59815972222</v>
      </c>
      <c r="O373" t="s">
        <v>3318</v>
      </c>
      <c r="P373" t="s">
        <v>182</v>
      </c>
      <c r="Q373" t="s">
        <v>2668</v>
      </c>
      <c r="R373" t="s">
        <v>4736</v>
      </c>
      <c r="S373" t="s">
        <v>99</v>
      </c>
      <c r="T373" t="s">
        <v>99</v>
      </c>
      <c r="U373" t="s">
        <v>99</v>
      </c>
      <c r="V373" t="s">
        <v>4495</v>
      </c>
      <c r="W373" t="s">
        <v>4496</v>
      </c>
      <c r="X373" t="s">
        <v>99</v>
      </c>
      <c r="Y373" t="s">
        <v>99</v>
      </c>
      <c r="Z373" t="s">
        <v>99</v>
      </c>
    </row>
    <row r="374" spans="1:26">
      <c r="A374" t="s">
        <v>5379</v>
      </c>
      <c r="B374" t="s">
        <v>222</v>
      </c>
      <c r="C374">
        <v>2022</v>
      </c>
      <c r="D374" t="s">
        <v>3308</v>
      </c>
      <c r="E374" t="s">
        <v>3309</v>
      </c>
      <c r="F374" t="s">
        <v>3220</v>
      </c>
      <c r="G374" t="s">
        <v>3310</v>
      </c>
      <c r="H374" t="s">
        <v>99</v>
      </c>
      <c r="I374" t="s">
        <v>99</v>
      </c>
      <c r="J374" t="s">
        <v>3311</v>
      </c>
      <c r="K374" t="s">
        <v>123</v>
      </c>
      <c r="L374" s="13">
        <v>44887.363807870373</v>
      </c>
      <c r="M374" s="13">
        <v>44887.363807870373</v>
      </c>
      <c r="N374" s="13">
        <v>44886.59815972222</v>
      </c>
      <c r="O374" t="s">
        <v>3312</v>
      </c>
      <c r="P374" t="s">
        <v>99</v>
      </c>
      <c r="Q374" t="s">
        <v>5380</v>
      </c>
      <c r="R374" t="s">
        <v>99</v>
      </c>
      <c r="S374" t="s">
        <v>99</v>
      </c>
      <c r="T374" t="s">
        <v>1226</v>
      </c>
      <c r="U374" t="s">
        <v>1227</v>
      </c>
      <c r="V374" t="s">
        <v>4495</v>
      </c>
      <c r="W374" t="s">
        <v>4496</v>
      </c>
      <c r="X374" t="s">
        <v>3313</v>
      </c>
      <c r="Y374" t="s">
        <v>5381</v>
      </c>
      <c r="Z374" t="s">
        <v>99</v>
      </c>
    </row>
    <row r="375" spans="1:26">
      <c r="A375" t="s">
        <v>5382</v>
      </c>
      <c r="B375" t="s">
        <v>222</v>
      </c>
      <c r="C375">
        <v>2021</v>
      </c>
      <c r="D375" t="s">
        <v>3283</v>
      </c>
      <c r="E375" t="s">
        <v>3284</v>
      </c>
      <c r="F375" t="s">
        <v>3285</v>
      </c>
      <c r="G375" t="s">
        <v>3286</v>
      </c>
      <c r="H375" t="s">
        <v>99</v>
      </c>
      <c r="I375" t="s">
        <v>99</v>
      </c>
      <c r="J375" t="s">
        <v>3287</v>
      </c>
      <c r="K375" t="s">
        <v>113</v>
      </c>
      <c r="L375" s="13">
        <v>44887.363807870373</v>
      </c>
      <c r="M375" s="13">
        <v>44887.363807870373</v>
      </c>
      <c r="N375" s="13">
        <v>44886.59814814815</v>
      </c>
      <c r="O375" t="s">
        <v>2767</v>
      </c>
      <c r="P375" t="s">
        <v>99</v>
      </c>
      <c r="Q375" t="s">
        <v>5383</v>
      </c>
      <c r="R375" t="s">
        <v>99</v>
      </c>
      <c r="S375" t="s">
        <v>99</v>
      </c>
      <c r="T375" t="s">
        <v>1226</v>
      </c>
      <c r="U375" t="s">
        <v>1227</v>
      </c>
      <c r="V375" t="s">
        <v>4495</v>
      </c>
      <c r="W375" t="s">
        <v>4496</v>
      </c>
      <c r="X375" t="s">
        <v>3288</v>
      </c>
      <c r="Y375" t="s">
        <v>5384</v>
      </c>
      <c r="Z375" t="s">
        <v>99</v>
      </c>
    </row>
    <row r="376" spans="1:26">
      <c r="A376" t="s">
        <v>5385</v>
      </c>
      <c r="B376" t="s">
        <v>222</v>
      </c>
      <c r="C376">
        <v>2009</v>
      </c>
      <c r="D376" t="s">
        <v>3278</v>
      </c>
      <c r="E376" t="s">
        <v>3279</v>
      </c>
      <c r="F376" t="s">
        <v>2363</v>
      </c>
      <c r="G376" t="s">
        <v>2364</v>
      </c>
      <c r="H376" t="s">
        <v>99</v>
      </c>
      <c r="I376" t="s">
        <v>99</v>
      </c>
      <c r="J376" t="s">
        <v>3280</v>
      </c>
      <c r="K376" t="s">
        <v>615</v>
      </c>
      <c r="L376" s="13">
        <v>44887.363807870373</v>
      </c>
      <c r="M376" s="13">
        <v>44887.363807870373</v>
      </c>
      <c r="N376" s="13">
        <v>44886.59814814815</v>
      </c>
      <c r="O376" t="s">
        <v>3281</v>
      </c>
      <c r="P376" t="s">
        <v>99</v>
      </c>
      <c r="Q376" t="s">
        <v>99</v>
      </c>
      <c r="R376" t="s">
        <v>99</v>
      </c>
      <c r="S376" t="s">
        <v>99</v>
      </c>
      <c r="T376" t="s">
        <v>1218</v>
      </c>
      <c r="U376" t="s">
        <v>133</v>
      </c>
      <c r="V376" t="s">
        <v>4495</v>
      </c>
      <c r="W376" t="s">
        <v>4496</v>
      </c>
      <c r="X376" t="s">
        <v>3282</v>
      </c>
      <c r="Y376" t="s">
        <v>99</v>
      </c>
      <c r="Z376" t="s">
        <v>99</v>
      </c>
    </row>
    <row r="377" spans="1:26">
      <c r="A377" t="s">
        <v>5386</v>
      </c>
      <c r="B377" t="s">
        <v>222</v>
      </c>
      <c r="C377">
        <v>2013</v>
      </c>
      <c r="D377" t="s">
        <v>3271</v>
      </c>
      <c r="E377" t="s">
        <v>3272</v>
      </c>
      <c r="F377" t="s">
        <v>3273</v>
      </c>
      <c r="G377" t="s">
        <v>3274</v>
      </c>
      <c r="H377" t="s">
        <v>99</v>
      </c>
      <c r="I377" t="s">
        <v>99</v>
      </c>
      <c r="J377" t="s">
        <v>3275</v>
      </c>
      <c r="K377" t="s">
        <v>139</v>
      </c>
      <c r="L377" s="13">
        <v>44887.363807870373</v>
      </c>
      <c r="M377" s="13">
        <v>44887.363807870373</v>
      </c>
      <c r="N377" s="13">
        <v>44886.598136574074</v>
      </c>
      <c r="O377" t="s">
        <v>3276</v>
      </c>
      <c r="P377" t="s">
        <v>99</v>
      </c>
      <c r="Q377" t="s">
        <v>5387</v>
      </c>
      <c r="R377" t="s">
        <v>99</v>
      </c>
      <c r="S377" t="s">
        <v>99</v>
      </c>
      <c r="T377" t="s">
        <v>1218</v>
      </c>
      <c r="U377" t="s">
        <v>133</v>
      </c>
      <c r="V377" t="s">
        <v>99</v>
      </c>
      <c r="W377" t="s">
        <v>4496</v>
      </c>
      <c r="X377" t="s">
        <v>3277</v>
      </c>
      <c r="Y377" t="s">
        <v>5388</v>
      </c>
      <c r="Z377" t="s">
        <v>4535</v>
      </c>
    </row>
    <row r="378" spans="1:26">
      <c r="A378" t="s">
        <v>5389</v>
      </c>
      <c r="B378" t="s">
        <v>222</v>
      </c>
      <c r="C378">
        <v>2021</v>
      </c>
      <c r="D378" t="s">
        <v>3258</v>
      </c>
      <c r="E378" t="s">
        <v>3259</v>
      </c>
      <c r="F378" t="s">
        <v>2572</v>
      </c>
      <c r="G378" t="s">
        <v>3260</v>
      </c>
      <c r="H378" t="s">
        <v>99</v>
      </c>
      <c r="I378" t="s">
        <v>99</v>
      </c>
      <c r="J378" t="s">
        <v>3261</v>
      </c>
      <c r="K378" t="s">
        <v>113</v>
      </c>
      <c r="L378" s="13">
        <v>44887.363807870373</v>
      </c>
      <c r="M378" s="13">
        <v>44887.363807870373</v>
      </c>
      <c r="N378" s="13">
        <v>44886.598124999997</v>
      </c>
      <c r="O378" t="s">
        <v>3262</v>
      </c>
      <c r="P378" t="s">
        <v>99</v>
      </c>
      <c r="Q378" t="s">
        <v>5358</v>
      </c>
      <c r="R378" t="s">
        <v>99</v>
      </c>
      <c r="S378" t="s">
        <v>99</v>
      </c>
      <c r="T378" t="s">
        <v>1226</v>
      </c>
      <c r="U378" t="s">
        <v>1227</v>
      </c>
      <c r="V378" t="s">
        <v>4495</v>
      </c>
      <c r="W378" t="s">
        <v>4496</v>
      </c>
      <c r="X378" t="s">
        <v>3263</v>
      </c>
      <c r="Y378" t="s">
        <v>5390</v>
      </c>
      <c r="Z378" t="s">
        <v>99</v>
      </c>
    </row>
    <row r="379" spans="1:26">
      <c r="A379" t="s">
        <v>5391</v>
      </c>
      <c r="B379" t="s">
        <v>135</v>
      </c>
      <c r="C379">
        <v>2001</v>
      </c>
      <c r="D379" t="s">
        <v>3251</v>
      </c>
      <c r="E379" t="s">
        <v>3252</v>
      </c>
      <c r="F379" t="s">
        <v>2109</v>
      </c>
      <c r="G379" t="s">
        <v>99</v>
      </c>
      <c r="H379" t="s">
        <v>3253</v>
      </c>
      <c r="I379" t="s">
        <v>3254</v>
      </c>
      <c r="J379" t="s">
        <v>3255</v>
      </c>
      <c r="K379" t="s">
        <v>755</v>
      </c>
      <c r="L379" s="13">
        <v>44887.363807870373</v>
      </c>
      <c r="M379" s="13">
        <v>44887.363807870373</v>
      </c>
      <c r="N379" s="13">
        <v>44886.598113425927</v>
      </c>
      <c r="O379" t="s">
        <v>3256</v>
      </c>
      <c r="P379" t="s">
        <v>3257</v>
      </c>
      <c r="Q379" t="s">
        <v>601</v>
      </c>
      <c r="R379" t="s">
        <v>99</v>
      </c>
      <c r="S379" t="s">
        <v>99</v>
      </c>
      <c r="T379" t="s">
        <v>99</v>
      </c>
      <c r="U379" t="s">
        <v>99</v>
      </c>
      <c r="V379" t="s">
        <v>99</v>
      </c>
      <c r="W379" t="s">
        <v>4496</v>
      </c>
      <c r="X379" t="s">
        <v>99</v>
      </c>
      <c r="Y379" t="s">
        <v>99</v>
      </c>
      <c r="Z379" t="s">
        <v>99</v>
      </c>
    </row>
    <row r="380" spans="1:26">
      <c r="A380" t="s">
        <v>5392</v>
      </c>
      <c r="B380" t="s">
        <v>222</v>
      </c>
      <c r="C380">
        <v>2017</v>
      </c>
      <c r="D380" t="s">
        <v>3244</v>
      </c>
      <c r="E380" t="s">
        <v>3245</v>
      </c>
      <c r="F380" t="s">
        <v>3246</v>
      </c>
      <c r="G380" t="s">
        <v>3247</v>
      </c>
      <c r="H380" t="s">
        <v>99</v>
      </c>
      <c r="I380" t="s">
        <v>99</v>
      </c>
      <c r="J380" t="s">
        <v>3248</v>
      </c>
      <c r="K380" t="s">
        <v>156</v>
      </c>
      <c r="L380" s="13">
        <v>44887.363807870373</v>
      </c>
      <c r="M380" s="13">
        <v>44887.363807870373</v>
      </c>
      <c r="N380" s="13">
        <v>44886.598113425927</v>
      </c>
      <c r="O380" t="s">
        <v>3249</v>
      </c>
      <c r="P380" t="s">
        <v>99</v>
      </c>
      <c r="Q380" t="s">
        <v>5393</v>
      </c>
      <c r="R380" t="s">
        <v>99</v>
      </c>
      <c r="S380" t="s">
        <v>99</v>
      </c>
      <c r="T380" t="s">
        <v>1226</v>
      </c>
      <c r="U380" t="s">
        <v>1227</v>
      </c>
      <c r="V380" t="s">
        <v>99</v>
      </c>
      <c r="W380" t="s">
        <v>4496</v>
      </c>
      <c r="X380" t="s">
        <v>3250</v>
      </c>
      <c r="Y380" t="s">
        <v>5394</v>
      </c>
      <c r="Z380" t="s">
        <v>99</v>
      </c>
    </row>
    <row r="381" spans="1:26">
      <c r="A381" t="s">
        <v>5395</v>
      </c>
      <c r="B381" t="s">
        <v>135</v>
      </c>
      <c r="C381">
        <v>2012</v>
      </c>
      <c r="D381" t="s">
        <v>3238</v>
      </c>
      <c r="E381" t="s">
        <v>3239</v>
      </c>
      <c r="F381" t="s">
        <v>1687</v>
      </c>
      <c r="G381" t="s">
        <v>99</v>
      </c>
      <c r="H381" t="s">
        <v>1688</v>
      </c>
      <c r="I381" t="s">
        <v>3240</v>
      </c>
      <c r="J381" t="s">
        <v>3241</v>
      </c>
      <c r="K381" t="s">
        <v>3242</v>
      </c>
      <c r="L381" s="13">
        <v>44887.363807870373</v>
      </c>
      <c r="M381" s="13">
        <v>44887.363807870373</v>
      </c>
      <c r="N381" s="13">
        <v>44886.598113425927</v>
      </c>
      <c r="O381" t="s">
        <v>3243</v>
      </c>
      <c r="P381" t="s">
        <v>182</v>
      </c>
      <c r="Q381" t="s">
        <v>402</v>
      </c>
      <c r="R381" t="s">
        <v>4736</v>
      </c>
      <c r="S381" t="s">
        <v>99</v>
      </c>
      <c r="T381" t="s">
        <v>99</v>
      </c>
      <c r="U381" t="s">
        <v>99</v>
      </c>
      <c r="V381" t="s">
        <v>4495</v>
      </c>
      <c r="W381" t="s">
        <v>4496</v>
      </c>
      <c r="X381" t="s">
        <v>99</v>
      </c>
      <c r="Y381" t="s">
        <v>99</v>
      </c>
      <c r="Z381" t="s">
        <v>99</v>
      </c>
    </row>
    <row r="382" spans="1:26">
      <c r="A382" t="s">
        <v>5396</v>
      </c>
      <c r="B382" t="s">
        <v>135</v>
      </c>
      <c r="C382">
        <v>2021</v>
      </c>
      <c r="D382" t="s">
        <v>3232</v>
      </c>
      <c r="E382" t="s">
        <v>3233</v>
      </c>
      <c r="F382" t="s">
        <v>1876</v>
      </c>
      <c r="G382" t="s">
        <v>99</v>
      </c>
      <c r="H382" t="s">
        <v>1877</v>
      </c>
      <c r="I382" t="s">
        <v>3234</v>
      </c>
      <c r="J382" t="s">
        <v>3235</v>
      </c>
      <c r="K382" t="s">
        <v>3236</v>
      </c>
      <c r="L382" s="13">
        <v>44887.363807870373</v>
      </c>
      <c r="M382" s="13">
        <v>44887.363807870373</v>
      </c>
      <c r="N382" s="13">
        <v>44886.598113425927</v>
      </c>
      <c r="O382" t="s">
        <v>3237</v>
      </c>
      <c r="P382" t="s">
        <v>182</v>
      </c>
      <c r="Q382" t="s">
        <v>5397</v>
      </c>
      <c r="R382" t="s">
        <v>5398</v>
      </c>
      <c r="S382" t="s">
        <v>99</v>
      </c>
      <c r="T382" t="s">
        <v>99</v>
      </c>
      <c r="U382" t="s">
        <v>99</v>
      </c>
      <c r="V382" t="s">
        <v>4495</v>
      </c>
      <c r="W382" t="s">
        <v>4496</v>
      </c>
      <c r="X382" t="s">
        <v>99</v>
      </c>
      <c r="Y382" t="s">
        <v>99</v>
      </c>
      <c r="Z382" t="s">
        <v>99</v>
      </c>
    </row>
    <row r="383" spans="1:26">
      <c r="A383" t="s">
        <v>5399</v>
      </c>
      <c r="B383" t="s">
        <v>222</v>
      </c>
      <c r="C383">
        <v>2020</v>
      </c>
      <c r="D383" t="s">
        <v>3264</v>
      </c>
      <c r="E383" t="s">
        <v>3265</v>
      </c>
      <c r="F383" t="s">
        <v>3266</v>
      </c>
      <c r="G383" t="s">
        <v>3267</v>
      </c>
      <c r="H383" t="s">
        <v>99</v>
      </c>
      <c r="I383" t="s">
        <v>99</v>
      </c>
      <c r="J383" t="s">
        <v>3268</v>
      </c>
      <c r="K383" t="s">
        <v>176</v>
      </c>
      <c r="L383" s="13">
        <v>44887.363807870373</v>
      </c>
      <c r="M383" s="13">
        <v>44887.363807870373</v>
      </c>
      <c r="N383" s="13">
        <v>44886.598124999997</v>
      </c>
      <c r="O383" t="s">
        <v>3269</v>
      </c>
      <c r="P383" t="s">
        <v>99</v>
      </c>
      <c r="Q383" t="s">
        <v>5400</v>
      </c>
      <c r="R383" t="s">
        <v>99</v>
      </c>
      <c r="S383" t="s">
        <v>5401</v>
      </c>
      <c r="T383" t="s">
        <v>1226</v>
      </c>
      <c r="U383" t="s">
        <v>1227</v>
      </c>
      <c r="V383" t="s">
        <v>4495</v>
      </c>
      <c r="W383" t="s">
        <v>4496</v>
      </c>
      <c r="X383" t="s">
        <v>3270</v>
      </c>
      <c r="Y383" t="s">
        <v>5402</v>
      </c>
      <c r="Z383" t="s">
        <v>99</v>
      </c>
    </row>
    <row r="384" spans="1:26">
      <c r="A384" t="s">
        <v>5403</v>
      </c>
      <c r="B384" t="s">
        <v>222</v>
      </c>
      <c r="C384">
        <v>2021</v>
      </c>
      <c r="D384" t="s">
        <v>3218</v>
      </c>
      <c r="E384" t="s">
        <v>3219</v>
      </c>
      <c r="F384" t="s">
        <v>3220</v>
      </c>
      <c r="G384" t="s">
        <v>3221</v>
      </c>
      <c r="H384" t="s">
        <v>99</v>
      </c>
      <c r="I384" t="s">
        <v>99</v>
      </c>
      <c r="J384" t="s">
        <v>3222</v>
      </c>
      <c r="K384" t="s">
        <v>113</v>
      </c>
      <c r="L384" s="13">
        <v>44887.363807870373</v>
      </c>
      <c r="M384" s="13">
        <v>44887.363807870373</v>
      </c>
      <c r="N384" s="13">
        <v>44886.598101851851</v>
      </c>
      <c r="O384" t="s">
        <v>3223</v>
      </c>
      <c r="P384" t="s">
        <v>99</v>
      </c>
      <c r="Q384" t="s">
        <v>5404</v>
      </c>
      <c r="R384" t="s">
        <v>99</v>
      </c>
      <c r="S384" t="s">
        <v>99</v>
      </c>
      <c r="T384" t="s">
        <v>1226</v>
      </c>
      <c r="U384" t="s">
        <v>1227</v>
      </c>
      <c r="V384" t="s">
        <v>4495</v>
      </c>
      <c r="W384" t="s">
        <v>4496</v>
      </c>
      <c r="X384" t="s">
        <v>3224</v>
      </c>
      <c r="Y384" t="s">
        <v>5405</v>
      </c>
      <c r="Z384" t="s">
        <v>99</v>
      </c>
    </row>
    <row r="385" spans="1:26">
      <c r="A385" t="s">
        <v>5406</v>
      </c>
      <c r="B385" t="s">
        <v>135</v>
      </c>
      <c r="C385">
        <v>2018</v>
      </c>
      <c r="D385" t="s">
        <v>3211</v>
      </c>
      <c r="E385" t="s">
        <v>3212</v>
      </c>
      <c r="F385" t="s">
        <v>3213</v>
      </c>
      <c r="G385" t="s">
        <v>99</v>
      </c>
      <c r="H385" t="s">
        <v>3214</v>
      </c>
      <c r="I385" t="s">
        <v>3215</v>
      </c>
      <c r="J385" t="s">
        <v>3216</v>
      </c>
      <c r="K385" t="s">
        <v>1714</v>
      </c>
      <c r="L385" s="13">
        <v>44887.363807870373</v>
      </c>
      <c r="M385" s="13">
        <v>44887.363807870373</v>
      </c>
      <c r="N385" s="13">
        <v>44886.598090277781</v>
      </c>
      <c r="O385" t="s">
        <v>3217</v>
      </c>
      <c r="P385" t="s">
        <v>941</v>
      </c>
      <c r="Q385" t="s">
        <v>5407</v>
      </c>
      <c r="R385" t="s">
        <v>5408</v>
      </c>
      <c r="S385" t="s">
        <v>99</v>
      </c>
      <c r="T385" t="s">
        <v>99</v>
      </c>
      <c r="U385" t="s">
        <v>99</v>
      </c>
      <c r="V385" t="s">
        <v>4495</v>
      </c>
      <c r="W385" t="s">
        <v>4496</v>
      </c>
      <c r="X385" t="s">
        <v>99</v>
      </c>
      <c r="Y385" t="s">
        <v>99</v>
      </c>
      <c r="Z385" t="s">
        <v>99</v>
      </c>
    </row>
    <row r="386" spans="1:26">
      <c r="A386" t="s">
        <v>5409</v>
      </c>
      <c r="B386" t="s">
        <v>222</v>
      </c>
      <c r="C386">
        <v>2018</v>
      </c>
      <c r="D386" t="s">
        <v>3204</v>
      </c>
      <c r="E386" t="s">
        <v>3205</v>
      </c>
      <c r="F386" t="s">
        <v>3206</v>
      </c>
      <c r="G386" t="s">
        <v>3207</v>
      </c>
      <c r="H386" t="s">
        <v>99</v>
      </c>
      <c r="I386" t="s">
        <v>99</v>
      </c>
      <c r="J386" t="s">
        <v>3208</v>
      </c>
      <c r="K386" t="s">
        <v>384</v>
      </c>
      <c r="L386" s="13">
        <v>44887.363807870373</v>
      </c>
      <c r="M386" s="13">
        <v>44887.363807870373</v>
      </c>
      <c r="N386" s="13">
        <v>44886.598090277781</v>
      </c>
      <c r="O386" t="s">
        <v>3209</v>
      </c>
      <c r="P386" t="s">
        <v>99</v>
      </c>
      <c r="Q386" t="s">
        <v>5410</v>
      </c>
      <c r="R386" t="s">
        <v>99</v>
      </c>
      <c r="S386" t="s">
        <v>99</v>
      </c>
      <c r="T386" t="s">
        <v>1226</v>
      </c>
      <c r="U386" t="s">
        <v>1227</v>
      </c>
      <c r="V386" t="s">
        <v>99</v>
      </c>
      <c r="W386" t="s">
        <v>4496</v>
      </c>
      <c r="X386" t="s">
        <v>3210</v>
      </c>
      <c r="Y386" t="s">
        <v>5411</v>
      </c>
      <c r="Z386" t="s">
        <v>99</v>
      </c>
    </row>
    <row r="387" spans="1:26">
      <c r="A387" t="s">
        <v>5412</v>
      </c>
      <c r="B387" t="s">
        <v>222</v>
      </c>
      <c r="C387">
        <v>2010</v>
      </c>
      <c r="D387" t="s">
        <v>3192</v>
      </c>
      <c r="E387" t="s">
        <v>3193</v>
      </c>
      <c r="F387" t="s">
        <v>1665</v>
      </c>
      <c r="G387" t="s">
        <v>3194</v>
      </c>
      <c r="H387" t="s">
        <v>99</v>
      </c>
      <c r="I387" t="s">
        <v>99</v>
      </c>
      <c r="J387" t="s">
        <v>3195</v>
      </c>
      <c r="K387" t="s">
        <v>130</v>
      </c>
      <c r="L387" s="13">
        <v>44887.363807870373</v>
      </c>
      <c r="M387" s="13">
        <v>44887.363807870373</v>
      </c>
      <c r="N387" s="13">
        <v>44886.598090277781</v>
      </c>
      <c r="O387" t="s">
        <v>3196</v>
      </c>
      <c r="P387" t="s">
        <v>99</v>
      </c>
      <c r="Q387" t="s">
        <v>5413</v>
      </c>
      <c r="R387" t="s">
        <v>99</v>
      </c>
      <c r="S387" t="s">
        <v>99</v>
      </c>
      <c r="T387" t="s">
        <v>1218</v>
      </c>
      <c r="U387" t="s">
        <v>133</v>
      </c>
      <c r="V387" t="s">
        <v>99</v>
      </c>
      <c r="W387" t="s">
        <v>4496</v>
      </c>
      <c r="X387" t="s">
        <v>3197</v>
      </c>
      <c r="Y387" t="s">
        <v>5414</v>
      </c>
      <c r="Z387" t="s">
        <v>4568</v>
      </c>
    </row>
    <row r="388" spans="1:26">
      <c r="A388" t="s">
        <v>5415</v>
      </c>
      <c r="B388" t="s">
        <v>222</v>
      </c>
      <c r="C388">
        <v>2021</v>
      </c>
      <c r="D388" t="s">
        <v>3179</v>
      </c>
      <c r="E388" t="s">
        <v>3180</v>
      </c>
      <c r="F388" t="s">
        <v>3181</v>
      </c>
      <c r="G388" t="s">
        <v>3182</v>
      </c>
      <c r="H388" t="s">
        <v>99</v>
      </c>
      <c r="I388" t="s">
        <v>99</v>
      </c>
      <c r="J388" t="s">
        <v>3183</v>
      </c>
      <c r="K388" t="s">
        <v>113</v>
      </c>
      <c r="L388" s="13">
        <v>44887.363807870373</v>
      </c>
      <c r="M388" s="13">
        <v>44887.363807870373</v>
      </c>
      <c r="N388" s="13">
        <v>44886.598078703704</v>
      </c>
      <c r="O388" t="s">
        <v>3184</v>
      </c>
      <c r="P388" t="s">
        <v>99</v>
      </c>
      <c r="Q388" t="s">
        <v>99</v>
      </c>
      <c r="R388" t="s">
        <v>99</v>
      </c>
      <c r="S388" t="s">
        <v>5416</v>
      </c>
      <c r="T388" t="s">
        <v>1226</v>
      </c>
      <c r="U388" t="s">
        <v>1227</v>
      </c>
      <c r="V388" t="s">
        <v>4495</v>
      </c>
      <c r="W388" t="s">
        <v>4496</v>
      </c>
      <c r="X388" t="s">
        <v>3185</v>
      </c>
      <c r="Y388" t="s">
        <v>5417</v>
      </c>
      <c r="Z388" t="s">
        <v>99</v>
      </c>
    </row>
    <row r="389" spans="1:26">
      <c r="A389" t="s">
        <v>5418</v>
      </c>
      <c r="B389" t="s">
        <v>222</v>
      </c>
      <c r="C389">
        <v>2010</v>
      </c>
      <c r="D389" t="s">
        <v>3225</v>
      </c>
      <c r="E389" t="s">
        <v>3226</v>
      </c>
      <c r="F389" t="s">
        <v>3227</v>
      </c>
      <c r="G389" t="s">
        <v>3228</v>
      </c>
      <c r="H389" t="s">
        <v>99</v>
      </c>
      <c r="I389" t="s">
        <v>99</v>
      </c>
      <c r="J389" t="s">
        <v>3229</v>
      </c>
      <c r="K389" t="s">
        <v>130</v>
      </c>
      <c r="L389" s="13">
        <v>44887.363807870373</v>
      </c>
      <c r="M389" s="13">
        <v>44887.363807870373</v>
      </c>
      <c r="N389" s="13">
        <v>44886.598113425927</v>
      </c>
      <c r="O389" t="s">
        <v>3230</v>
      </c>
      <c r="P389" t="s">
        <v>99</v>
      </c>
      <c r="Q389" t="s">
        <v>5370</v>
      </c>
      <c r="R389" t="s">
        <v>99</v>
      </c>
      <c r="S389" t="s">
        <v>99</v>
      </c>
      <c r="T389" t="s">
        <v>1218</v>
      </c>
      <c r="U389" t="s">
        <v>133</v>
      </c>
      <c r="V389" t="s">
        <v>99</v>
      </c>
      <c r="W389" t="s">
        <v>4496</v>
      </c>
      <c r="X389" t="s">
        <v>3231</v>
      </c>
      <c r="Y389" t="s">
        <v>5371</v>
      </c>
      <c r="Z389" t="s">
        <v>99</v>
      </c>
    </row>
    <row r="390" spans="1:26">
      <c r="A390" t="s">
        <v>5419</v>
      </c>
      <c r="B390" t="s">
        <v>222</v>
      </c>
      <c r="C390">
        <v>2014</v>
      </c>
      <c r="D390" t="s">
        <v>3198</v>
      </c>
      <c r="E390" t="s">
        <v>3199</v>
      </c>
      <c r="F390" t="s">
        <v>2945</v>
      </c>
      <c r="G390" t="s">
        <v>3200</v>
      </c>
      <c r="H390" t="s">
        <v>99</v>
      </c>
      <c r="I390" t="s">
        <v>99</v>
      </c>
      <c r="J390" t="s">
        <v>3201</v>
      </c>
      <c r="K390" t="s">
        <v>400</v>
      </c>
      <c r="L390" s="13">
        <v>44887.363807870373</v>
      </c>
      <c r="M390" s="13">
        <v>44887.363807870373</v>
      </c>
      <c r="N390" s="13">
        <v>44886.598090277781</v>
      </c>
      <c r="O390" t="s">
        <v>3202</v>
      </c>
      <c r="P390" t="s">
        <v>99</v>
      </c>
      <c r="Q390" t="s">
        <v>5420</v>
      </c>
      <c r="R390" t="s">
        <v>99</v>
      </c>
      <c r="S390" t="s">
        <v>99</v>
      </c>
      <c r="T390" t="s">
        <v>1226</v>
      </c>
      <c r="U390" t="s">
        <v>1227</v>
      </c>
      <c r="V390" t="s">
        <v>99</v>
      </c>
      <c r="W390" t="s">
        <v>4496</v>
      </c>
      <c r="X390" t="s">
        <v>3203</v>
      </c>
      <c r="Y390" t="s">
        <v>5421</v>
      </c>
      <c r="Z390" t="s">
        <v>99</v>
      </c>
    </row>
    <row r="391" spans="1:26">
      <c r="A391" t="s">
        <v>5422</v>
      </c>
      <c r="B391" t="s">
        <v>135</v>
      </c>
      <c r="C391">
        <v>2020</v>
      </c>
      <c r="D391" t="s">
        <v>3186</v>
      </c>
      <c r="E391" t="s">
        <v>3187</v>
      </c>
      <c r="F391" t="s">
        <v>1725</v>
      </c>
      <c r="G391" t="s">
        <v>99</v>
      </c>
      <c r="H391" t="s">
        <v>1726</v>
      </c>
      <c r="I391" t="s">
        <v>3188</v>
      </c>
      <c r="J391" t="s">
        <v>3189</v>
      </c>
      <c r="K391" t="s">
        <v>3190</v>
      </c>
      <c r="L391" s="13">
        <v>44887.363807870373</v>
      </c>
      <c r="M391" s="13">
        <v>44887.363807870373</v>
      </c>
      <c r="N391" s="13">
        <v>44886.598078703704</v>
      </c>
      <c r="O391" t="s">
        <v>3191</v>
      </c>
      <c r="P391" t="s">
        <v>500</v>
      </c>
      <c r="Q391" t="s">
        <v>5423</v>
      </c>
      <c r="R391" t="s">
        <v>5424</v>
      </c>
      <c r="S391" t="s">
        <v>99</v>
      </c>
      <c r="T391" t="s">
        <v>99</v>
      </c>
      <c r="U391" t="s">
        <v>99</v>
      </c>
      <c r="V391" t="s">
        <v>4495</v>
      </c>
      <c r="W391" t="s">
        <v>4496</v>
      </c>
      <c r="X391" t="s">
        <v>99</v>
      </c>
      <c r="Y391" t="s">
        <v>99</v>
      </c>
      <c r="Z391" t="s">
        <v>99</v>
      </c>
    </row>
    <row r="392" spans="1:26">
      <c r="A392" t="s">
        <v>5425</v>
      </c>
      <c r="B392" t="s">
        <v>222</v>
      </c>
      <c r="C392">
        <v>2022</v>
      </c>
      <c r="D392" t="s">
        <v>3172</v>
      </c>
      <c r="E392" t="s">
        <v>3173</v>
      </c>
      <c r="F392" t="s">
        <v>3174</v>
      </c>
      <c r="G392" t="s">
        <v>3175</v>
      </c>
      <c r="H392" t="s">
        <v>99</v>
      </c>
      <c r="I392" t="s">
        <v>99</v>
      </c>
      <c r="J392" t="s">
        <v>3176</v>
      </c>
      <c r="K392" t="s">
        <v>123</v>
      </c>
      <c r="L392" s="13">
        <v>44887.363807870373</v>
      </c>
      <c r="M392" s="13">
        <v>44887.363807870373</v>
      </c>
      <c r="N392" s="13">
        <v>44886.598067129627</v>
      </c>
      <c r="O392" t="s">
        <v>3177</v>
      </c>
      <c r="P392" t="s">
        <v>99</v>
      </c>
      <c r="Q392" t="s">
        <v>5426</v>
      </c>
      <c r="R392" t="s">
        <v>99</v>
      </c>
      <c r="S392" t="s">
        <v>5427</v>
      </c>
      <c r="T392" t="s">
        <v>1226</v>
      </c>
      <c r="U392" t="s">
        <v>1227</v>
      </c>
      <c r="V392" t="s">
        <v>4495</v>
      </c>
      <c r="W392" t="s">
        <v>4496</v>
      </c>
      <c r="X392" t="s">
        <v>3178</v>
      </c>
      <c r="Y392" t="s">
        <v>5428</v>
      </c>
      <c r="Z392" t="s">
        <v>99</v>
      </c>
    </row>
    <row r="393" spans="1:26">
      <c r="A393" t="s">
        <v>5429</v>
      </c>
      <c r="B393" t="s">
        <v>222</v>
      </c>
      <c r="C393">
        <v>2012</v>
      </c>
      <c r="D393" t="s">
        <v>3166</v>
      </c>
      <c r="E393" t="s">
        <v>3167</v>
      </c>
      <c r="F393" t="s">
        <v>2945</v>
      </c>
      <c r="G393" t="s">
        <v>3168</v>
      </c>
      <c r="H393" t="s">
        <v>99</v>
      </c>
      <c r="I393" t="s">
        <v>99</v>
      </c>
      <c r="J393" t="s">
        <v>3169</v>
      </c>
      <c r="K393" t="s">
        <v>351</v>
      </c>
      <c r="L393" s="13">
        <v>44887.363807870373</v>
      </c>
      <c r="M393" s="13">
        <v>44887.363807870373</v>
      </c>
      <c r="N393" s="13">
        <v>44886.598067129627</v>
      </c>
      <c r="O393" t="s">
        <v>3170</v>
      </c>
      <c r="P393" t="s">
        <v>99</v>
      </c>
      <c r="Q393" t="s">
        <v>5430</v>
      </c>
      <c r="R393" t="s">
        <v>99</v>
      </c>
      <c r="S393" t="s">
        <v>99</v>
      </c>
      <c r="T393" t="s">
        <v>1218</v>
      </c>
      <c r="U393" t="s">
        <v>133</v>
      </c>
      <c r="V393" t="s">
        <v>99</v>
      </c>
      <c r="W393" t="s">
        <v>4496</v>
      </c>
      <c r="X393" t="s">
        <v>3171</v>
      </c>
      <c r="Y393" t="s">
        <v>5431</v>
      </c>
      <c r="Z393" t="s">
        <v>4568</v>
      </c>
    </row>
    <row r="394" spans="1:26">
      <c r="A394" t="s">
        <v>5432</v>
      </c>
      <c r="B394" t="s">
        <v>222</v>
      </c>
      <c r="C394">
        <v>2013</v>
      </c>
      <c r="D394" t="s">
        <v>3159</v>
      </c>
      <c r="E394" t="s">
        <v>3160</v>
      </c>
      <c r="F394" t="s">
        <v>3161</v>
      </c>
      <c r="G394" t="s">
        <v>3162</v>
      </c>
      <c r="H394" t="s">
        <v>99</v>
      </c>
      <c r="I394" t="s">
        <v>99</v>
      </c>
      <c r="J394" t="s">
        <v>3163</v>
      </c>
      <c r="K394" t="s">
        <v>139</v>
      </c>
      <c r="L394" s="13">
        <v>44887.363807870373</v>
      </c>
      <c r="M394" s="13">
        <v>44887.363807870373</v>
      </c>
      <c r="N394" s="13">
        <v>44886.598067129627</v>
      </c>
      <c r="O394" t="s">
        <v>3164</v>
      </c>
      <c r="P394" t="s">
        <v>99</v>
      </c>
      <c r="Q394" t="s">
        <v>5433</v>
      </c>
      <c r="R394" t="s">
        <v>99</v>
      </c>
      <c r="S394" t="s">
        <v>99</v>
      </c>
      <c r="T394" t="s">
        <v>1218</v>
      </c>
      <c r="U394" t="s">
        <v>133</v>
      </c>
      <c r="V394" t="s">
        <v>4495</v>
      </c>
      <c r="W394" t="s">
        <v>4496</v>
      </c>
      <c r="X394" t="s">
        <v>3165</v>
      </c>
      <c r="Y394" t="s">
        <v>5434</v>
      </c>
      <c r="Z394" t="s">
        <v>99</v>
      </c>
    </row>
    <row r="395" spans="1:26">
      <c r="A395" t="s">
        <v>5435</v>
      </c>
      <c r="B395" t="s">
        <v>222</v>
      </c>
      <c r="C395">
        <v>2016</v>
      </c>
      <c r="D395" t="s">
        <v>3154</v>
      </c>
      <c r="E395" t="s">
        <v>3155</v>
      </c>
      <c r="F395" t="s">
        <v>1244</v>
      </c>
      <c r="G395" t="s">
        <v>1245</v>
      </c>
      <c r="H395" t="s">
        <v>99</v>
      </c>
      <c r="I395" t="s">
        <v>99</v>
      </c>
      <c r="J395" t="s">
        <v>3156</v>
      </c>
      <c r="K395" t="s">
        <v>331</v>
      </c>
      <c r="L395" s="13">
        <v>44887.363807870373</v>
      </c>
      <c r="M395" s="13">
        <v>44887.363807870373</v>
      </c>
      <c r="N395" s="13">
        <v>44886.598067129627</v>
      </c>
      <c r="O395" t="s">
        <v>3157</v>
      </c>
      <c r="P395" t="s">
        <v>99</v>
      </c>
      <c r="Q395" t="s">
        <v>5225</v>
      </c>
      <c r="R395" t="s">
        <v>99</v>
      </c>
      <c r="S395" t="s">
        <v>99</v>
      </c>
      <c r="T395" t="s">
        <v>1226</v>
      </c>
      <c r="U395" t="s">
        <v>1227</v>
      </c>
      <c r="V395" t="s">
        <v>4495</v>
      </c>
      <c r="W395" t="s">
        <v>4496</v>
      </c>
      <c r="X395" t="s">
        <v>3158</v>
      </c>
      <c r="Y395" t="s">
        <v>5226</v>
      </c>
      <c r="Z395" t="s">
        <v>99</v>
      </c>
    </row>
    <row r="396" spans="1:26">
      <c r="A396" t="s">
        <v>5436</v>
      </c>
      <c r="B396" t="s">
        <v>222</v>
      </c>
      <c r="C396">
        <v>2020</v>
      </c>
      <c r="D396" t="s">
        <v>3147</v>
      </c>
      <c r="E396" t="s">
        <v>3148</v>
      </c>
      <c r="F396" t="s">
        <v>3149</v>
      </c>
      <c r="G396" t="s">
        <v>3150</v>
      </c>
      <c r="H396" t="s">
        <v>99</v>
      </c>
      <c r="I396" t="s">
        <v>99</v>
      </c>
      <c r="J396" t="s">
        <v>3151</v>
      </c>
      <c r="K396" t="s">
        <v>176</v>
      </c>
      <c r="L396" s="13">
        <v>44887.363807870373</v>
      </c>
      <c r="M396" s="13">
        <v>44887.363807870373</v>
      </c>
      <c r="N396" s="13">
        <v>44886.598055555558</v>
      </c>
      <c r="O396" t="s">
        <v>3152</v>
      </c>
      <c r="P396" t="s">
        <v>99</v>
      </c>
      <c r="Q396" t="s">
        <v>5437</v>
      </c>
      <c r="R396" t="s">
        <v>99</v>
      </c>
      <c r="S396" t="s">
        <v>5438</v>
      </c>
      <c r="T396" t="s">
        <v>1226</v>
      </c>
      <c r="U396" t="s">
        <v>1227</v>
      </c>
      <c r="V396" t="s">
        <v>4495</v>
      </c>
      <c r="W396" t="s">
        <v>4496</v>
      </c>
      <c r="X396" t="s">
        <v>3153</v>
      </c>
      <c r="Y396" t="s">
        <v>5439</v>
      </c>
      <c r="Z396" t="s">
        <v>99</v>
      </c>
    </row>
    <row r="397" spans="1:26">
      <c r="A397" t="s">
        <v>5440</v>
      </c>
      <c r="B397" t="s">
        <v>135</v>
      </c>
      <c r="C397">
        <v>2008</v>
      </c>
      <c r="D397" t="s">
        <v>3142</v>
      </c>
      <c r="E397" t="s">
        <v>3143</v>
      </c>
      <c r="F397" t="s">
        <v>1687</v>
      </c>
      <c r="G397" t="s">
        <v>99</v>
      </c>
      <c r="H397" t="s">
        <v>1688</v>
      </c>
      <c r="I397" t="s">
        <v>3144</v>
      </c>
      <c r="J397" t="s">
        <v>3145</v>
      </c>
      <c r="K397" t="s">
        <v>2325</v>
      </c>
      <c r="L397" s="13">
        <v>44887.363807870373</v>
      </c>
      <c r="M397" s="13">
        <v>44887.363807870373</v>
      </c>
      <c r="N397" s="13">
        <v>44886.598055555558</v>
      </c>
      <c r="O397" t="s">
        <v>3146</v>
      </c>
      <c r="P397" t="s">
        <v>288</v>
      </c>
      <c r="Q397" t="s">
        <v>363</v>
      </c>
      <c r="R397" t="s">
        <v>4736</v>
      </c>
      <c r="S397" t="s">
        <v>99</v>
      </c>
      <c r="T397" t="s">
        <v>99</v>
      </c>
      <c r="U397" t="s">
        <v>99</v>
      </c>
      <c r="V397" t="s">
        <v>4495</v>
      </c>
      <c r="W397" t="s">
        <v>4496</v>
      </c>
      <c r="X397" t="s">
        <v>99</v>
      </c>
      <c r="Y397" t="s">
        <v>99</v>
      </c>
      <c r="Z397" t="s">
        <v>99</v>
      </c>
    </row>
    <row r="398" spans="1:26">
      <c r="A398" t="s">
        <v>5441</v>
      </c>
      <c r="B398" t="s">
        <v>222</v>
      </c>
      <c r="C398">
        <v>2012</v>
      </c>
      <c r="D398" t="s">
        <v>3135</v>
      </c>
      <c r="E398" t="s">
        <v>3136</v>
      </c>
      <c r="F398" t="s">
        <v>3137</v>
      </c>
      <c r="G398" t="s">
        <v>3138</v>
      </c>
      <c r="H398" t="s">
        <v>99</v>
      </c>
      <c r="I398" t="s">
        <v>99</v>
      </c>
      <c r="J398" t="s">
        <v>3139</v>
      </c>
      <c r="K398" t="s">
        <v>351</v>
      </c>
      <c r="L398" s="13">
        <v>44887.363807870373</v>
      </c>
      <c r="M398" s="13">
        <v>44887.363807870373</v>
      </c>
      <c r="N398" s="13">
        <v>44886.598043981481</v>
      </c>
      <c r="O398" t="s">
        <v>3140</v>
      </c>
      <c r="P398" t="s">
        <v>99</v>
      </c>
      <c r="Q398" t="s">
        <v>5442</v>
      </c>
      <c r="R398" t="s">
        <v>99</v>
      </c>
      <c r="S398" t="s">
        <v>99</v>
      </c>
      <c r="T398" t="s">
        <v>1218</v>
      </c>
      <c r="U398" t="s">
        <v>133</v>
      </c>
      <c r="V398" t="s">
        <v>99</v>
      </c>
      <c r="W398" t="s">
        <v>4496</v>
      </c>
      <c r="X398" t="s">
        <v>3141</v>
      </c>
      <c r="Y398" t="s">
        <v>5443</v>
      </c>
      <c r="Z398" t="s">
        <v>4568</v>
      </c>
    </row>
    <row r="399" spans="1:26">
      <c r="A399" t="s">
        <v>5444</v>
      </c>
      <c r="B399" t="s">
        <v>222</v>
      </c>
      <c r="C399">
        <v>2009</v>
      </c>
      <c r="D399" t="s">
        <v>3130</v>
      </c>
      <c r="E399" t="s">
        <v>3131</v>
      </c>
      <c r="F399" t="s">
        <v>1466</v>
      </c>
      <c r="G399" t="s">
        <v>1467</v>
      </c>
      <c r="H399" t="s">
        <v>99</v>
      </c>
      <c r="I399" t="s">
        <v>99</v>
      </c>
      <c r="J399" t="s">
        <v>3132</v>
      </c>
      <c r="K399" t="s">
        <v>615</v>
      </c>
      <c r="L399" s="13">
        <v>44887.363807870373</v>
      </c>
      <c r="M399" s="13">
        <v>44887.363807870373</v>
      </c>
      <c r="N399" s="13">
        <v>44886.598043981481</v>
      </c>
      <c r="O399" t="s">
        <v>3133</v>
      </c>
      <c r="P399" t="s">
        <v>99</v>
      </c>
      <c r="Q399" t="s">
        <v>5445</v>
      </c>
      <c r="R399" t="s">
        <v>99</v>
      </c>
      <c r="S399" t="s">
        <v>99</v>
      </c>
      <c r="T399" t="s">
        <v>1218</v>
      </c>
      <c r="U399" t="s">
        <v>133</v>
      </c>
      <c r="V399" t="s">
        <v>99</v>
      </c>
      <c r="W399" t="s">
        <v>4496</v>
      </c>
      <c r="X399" t="s">
        <v>3134</v>
      </c>
      <c r="Y399" t="s">
        <v>5446</v>
      </c>
      <c r="Z399" t="s">
        <v>99</v>
      </c>
    </row>
    <row r="400" spans="1:26">
      <c r="A400" t="s">
        <v>5447</v>
      </c>
      <c r="B400" t="s">
        <v>222</v>
      </c>
      <c r="C400">
        <v>2011</v>
      </c>
      <c r="D400" t="s">
        <v>3125</v>
      </c>
      <c r="E400" t="s">
        <v>3126</v>
      </c>
      <c r="F400" t="s">
        <v>2335</v>
      </c>
      <c r="G400" t="s">
        <v>2336</v>
      </c>
      <c r="H400" t="s">
        <v>99</v>
      </c>
      <c r="I400" t="s">
        <v>99</v>
      </c>
      <c r="J400" t="s">
        <v>3127</v>
      </c>
      <c r="K400" t="s">
        <v>102</v>
      </c>
      <c r="L400" s="13">
        <v>44887.363807870373</v>
      </c>
      <c r="M400" s="13">
        <v>44887.363807870373</v>
      </c>
      <c r="N400" s="13">
        <v>44886.598032407404</v>
      </c>
      <c r="O400" t="s">
        <v>3128</v>
      </c>
      <c r="P400" t="s">
        <v>99</v>
      </c>
      <c r="Q400" t="s">
        <v>4767</v>
      </c>
      <c r="R400" t="s">
        <v>99</v>
      </c>
      <c r="S400" t="s">
        <v>99</v>
      </c>
      <c r="T400" t="s">
        <v>1226</v>
      </c>
      <c r="U400" t="s">
        <v>1227</v>
      </c>
      <c r="V400" t="s">
        <v>99</v>
      </c>
      <c r="W400" t="s">
        <v>4496</v>
      </c>
      <c r="X400" t="s">
        <v>3129</v>
      </c>
      <c r="Y400" t="s">
        <v>4769</v>
      </c>
      <c r="Z400" t="s">
        <v>99</v>
      </c>
    </row>
    <row r="401" spans="1:26">
      <c r="A401" t="s">
        <v>5448</v>
      </c>
      <c r="B401" t="s">
        <v>222</v>
      </c>
      <c r="C401">
        <v>2017</v>
      </c>
      <c r="D401" t="s">
        <v>3111</v>
      </c>
      <c r="E401" t="s">
        <v>3112</v>
      </c>
      <c r="F401" t="s">
        <v>3113</v>
      </c>
      <c r="G401" t="s">
        <v>3114</v>
      </c>
      <c r="H401" t="s">
        <v>99</v>
      </c>
      <c r="I401" t="s">
        <v>99</v>
      </c>
      <c r="J401" t="s">
        <v>3115</v>
      </c>
      <c r="K401" t="s">
        <v>156</v>
      </c>
      <c r="L401" s="13">
        <v>44887.363807870373</v>
      </c>
      <c r="M401" s="13">
        <v>44887.363807870373</v>
      </c>
      <c r="N401" s="13">
        <v>44886.598020833335</v>
      </c>
      <c r="O401" t="s">
        <v>3116</v>
      </c>
      <c r="P401" t="s">
        <v>99</v>
      </c>
      <c r="Q401" t="s">
        <v>5449</v>
      </c>
      <c r="R401" t="s">
        <v>99</v>
      </c>
      <c r="S401" t="s">
        <v>99</v>
      </c>
      <c r="T401" t="s">
        <v>1226</v>
      </c>
      <c r="U401" t="s">
        <v>1227</v>
      </c>
      <c r="V401" t="s">
        <v>99</v>
      </c>
      <c r="W401" t="s">
        <v>4496</v>
      </c>
      <c r="X401" t="s">
        <v>3117</v>
      </c>
      <c r="Y401" t="s">
        <v>5450</v>
      </c>
      <c r="Z401" t="s">
        <v>99</v>
      </c>
    </row>
    <row r="402" spans="1:26">
      <c r="A402" t="s">
        <v>5451</v>
      </c>
      <c r="B402" t="s">
        <v>222</v>
      </c>
      <c r="C402">
        <v>2012</v>
      </c>
      <c r="D402" t="s">
        <v>3097</v>
      </c>
      <c r="E402" t="s">
        <v>3098</v>
      </c>
      <c r="F402" t="s">
        <v>3099</v>
      </c>
      <c r="G402" t="s">
        <v>3100</v>
      </c>
      <c r="H402" t="s">
        <v>99</v>
      </c>
      <c r="I402" t="s">
        <v>99</v>
      </c>
      <c r="J402" t="s">
        <v>3101</v>
      </c>
      <c r="K402" t="s">
        <v>351</v>
      </c>
      <c r="L402" s="13">
        <v>44887.363807870373</v>
      </c>
      <c r="M402" s="13">
        <v>44887.363807870373</v>
      </c>
      <c r="N402" s="13">
        <v>44886.598020833335</v>
      </c>
      <c r="O402" t="s">
        <v>3102</v>
      </c>
      <c r="P402" t="s">
        <v>99</v>
      </c>
      <c r="Q402" t="s">
        <v>5452</v>
      </c>
      <c r="R402" t="s">
        <v>99</v>
      </c>
      <c r="S402" t="s">
        <v>99</v>
      </c>
      <c r="T402" t="s">
        <v>1218</v>
      </c>
      <c r="U402" t="s">
        <v>133</v>
      </c>
      <c r="V402" t="s">
        <v>99</v>
      </c>
      <c r="W402" t="s">
        <v>4496</v>
      </c>
      <c r="X402" t="s">
        <v>3103</v>
      </c>
      <c r="Y402" t="s">
        <v>5453</v>
      </c>
      <c r="Z402" t="s">
        <v>99</v>
      </c>
    </row>
    <row r="403" spans="1:26">
      <c r="A403" t="s">
        <v>5454</v>
      </c>
      <c r="B403" t="s">
        <v>222</v>
      </c>
      <c r="C403">
        <v>2015</v>
      </c>
      <c r="D403" t="s">
        <v>3090</v>
      </c>
      <c r="E403" t="s">
        <v>3091</v>
      </c>
      <c r="F403" t="s">
        <v>3092</v>
      </c>
      <c r="G403" t="s">
        <v>3093</v>
      </c>
      <c r="H403" t="s">
        <v>99</v>
      </c>
      <c r="I403" t="s">
        <v>99</v>
      </c>
      <c r="J403" t="s">
        <v>3094</v>
      </c>
      <c r="K403" t="s">
        <v>564</v>
      </c>
      <c r="L403" s="13">
        <v>44887.363807870373</v>
      </c>
      <c r="M403" s="13">
        <v>44887.363807870373</v>
      </c>
      <c r="N403" s="13">
        <v>44886.598009259258</v>
      </c>
      <c r="O403" t="s">
        <v>3095</v>
      </c>
      <c r="P403" t="s">
        <v>99</v>
      </c>
      <c r="Q403" t="s">
        <v>5455</v>
      </c>
      <c r="R403" t="s">
        <v>99</v>
      </c>
      <c r="S403" t="s">
        <v>99</v>
      </c>
      <c r="T403" t="s">
        <v>1226</v>
      </c>
      <c r="U403" t="s">
        <v>1227</v>
      </c>
      <c r="V403" t="s">
        <v>99</v>
      </c>
      <c r="W403" t="s">
        <v>4496</v>
      </c>
      <c r="X403" t="s">
        <v>3096</v>
      </c>
      <c r="Y403" t="s">
        <v>5456</v>
      </c>
      <c r="Z403" t="s">
        <v>99</v>
      </c>
    </row>
    <row r="404" spans="1:26">
      <c r="A404" t="s">
        <v>5457</v>
      </c>
      <c r="B404" t="s">
        <v>135</v>
      </c>
      <c r="C404">
        <v>2006</v>
      </c>
      <c r="D404" t="s">
        <v>3084</v>
      </c>
      <c r="E404" t="s">
        <v>3085</v>
      </c>
      <c r="F404" t="s">
        <v>1312</v>
      </c>
      <c r="G404" t="s">
        <v>99</v>
      </c>
      <c r="H404" t="s">
        <v>1313</v>
      </c>
      <c r="I404" t="s">
        <v>3086</v>
      </c>
      <c r="J404" t="s">
        <v>3087</v>
      </c>
      <c r="K404" t="s">
        <v>3088</v>
      </c>
      <c r="L404" s="13">
        <v>44887.363807870373</v>
      </c>
      <c r="M404" s="13">
        <v>44887.363807870373</v>
      </c>
      <c r="N404" s="13">
        <v>44886.598009259258</v>
      </c>
      <c r="O404" t="s">
        <v>3089</v>
      </c>
      <c r="P404" t="s">
        <v>363</v>
      </c>
      <c r="Q404" t="s">
        <v>5458</v>
      </c>
      <c r="R404" t="s">
        <v>4510</v>
      </c>
      <c r="S404" t="s">
        <v>5459</v>
      </c>
      <c r="T404" t="s">
        <v>99</v>
      </c>
      <c r="U404" t="s">
        <v>99</v>
      </c>
      <c r="V404" t="s">
        <v>4495</v>
      </c>
      <c r="W404" t="s">
        <v>4496</v>
      </c>
      <c r="X404" t="s">
        <v>99</v>
      </c>
      <c r="Y404" t="s">
        <v>99</v>
      </c>
      <c r="Z404" t="s">
        <v>99</v>
      </c>
    </row>
    <row r="405" spans="1:26">
      <c r="A405" t="s">
        <v>5460</v>
      </c>
      <c r="B405" t="s">
        <v>222</v>
      </c>
      <c r="C405">
        <v>2007</v>
      </c>
      <c r="D405" t="s">
        <v>3070</v>
      </c>
      <c r="E405" t="s">
        <v>3071</v>
      </c>
      <c r="F405" t="s">
        <v>3072</v>
      </c>
      <c r="G405" t="s">
        <v>3073</v>
      </c>
      <c r="H405" t="s">
        <v>99</v>
      </c>
      <c r="I405" t="s">
        <v>99</v>
      </c>
      <c r="J405" t="s">
        <v>3074</v>
      </c>
      <c r="K405" t="s">
        <v>666</v>
      </c>
      <c r="L405" s="13">
        <v>44887.363807870373</v>
      </c>
      <c r="M405" s="13">
        <v>44887.363807870373</v>
      </c>
      <c r="N405" s="13">
        <v>44886.598009259258</v>
      </c>
      <c r="O405" t="s">
        <v>3075</v>
      </c>
      <c r="P405" t="s">
        <v>99</v>
      </c>
      <c r="Q405" t="s">
        <v>5461</v>
      </c>
      <c r="R405" t="s">
        <v>99</v>
      </c>
      <c r="S405" t="s">
        <v>99</v>
      </c>
      <c r="T405" t="s">
        <v>1218</v>
      </c>
      <c r="U405" t="s">
        <v>133</v>
      </c>
      <c r="V405" t="s">
        <v>4495</v>
      </c>
      <c r="W405" t="s">
        <v>4496</v>
      </c>
      <c r="X405" t="s">
        <v>3076</v>
      </c>
      <c r="Y405" t="s">
        <v>5462</v>
      </c>
      <c r="Z405" t="s">
        <v>99</v>
      </c>
    </row>
    <row r="406" spans="1:26">
      <c r="A406" t="s">
        <v>5463</v>
      </c>
      <c r="B406" t="s">
        <v>222</v>
      </c>
      <c r="C406">
        <v>2018</v>
      </c>
      <c r="D406" t="s">
        <v>3063</v>
      </c>
      <c r="E406" t="s">
        <v>3064</v>
      </c>
      <c r="F406" t="s">
        <v>3065</v>
      </c>
      <c r="G406" t="s">
        <v>3066</v>
      </c>
      <c r="H406" t="s">
        <v>99</v>
      </c>
      <c r="I406" t="s">
        <v>99</v>
      </c>
      <c r="J406" t="s">
        <v>3067</v>
      </c>
      <c r="K406" t="s">
        <v>384</v>
      </c>
      <c r="L406" s="13">
        <v>44887.363807870373</v>
      </c>
      <c r="M406" s="13">
        <v>44887.363807870373</v>
      </c>
      <c r="N406" s="13">
        <v>44886.598009259258</v>
      </c>
      <c r="O406" t="s">
        <v>3068</v>
      </c>
      <c r="P406" t="s">
        <v>99</v>
      </c>
      <c r="Q406" t="s">
        <v>5464</v>
      </c>
      <c r="R406" t="s">
        <v>99</v>
      </c>
      <c r="S406" t="s">
        <v>5465</v>
      </c>
      <c r="T406" t="s">
        <v>1226</v>
      </c>
      <c r="U406" t="s">
        <v>1227</v>
      </c>
      <c r="V406" t="s">
        <v>99</v>
      </c>
      <c r="W406" t="s">
        <v>4496</v>
      </c>
      <c r="X406" t="s">
        <v>3069</v>
      </c>
      <c r="Y406" t="s">
        <v>5466</v>
      </c>
      <c r="Z406" t="s">
        <v>99</v>
      </c>
    </row>
    <row r="407" spans="1:26">
      <c r="A407" t="s">
        <v>5467</v>
      </c>
      <c r="B407" t="s">
        <v>222</v>
      </c>
      <c r="C407">
        <v>2003</v>
      </c>
      <c r="D407" t="s">
        <v>3118</v>
      </c>
      <c r="E407" t="s">
        <v>3119</v>
      </c>
      <c r="F407" t="s">
        <v>3120</v>
      </c>
      <c r="G407" t="s">
        <v>3121</v>
      </c>
      <c r="H407" t="s">
        <v>99</v>
      </c>
      <c r="I407" t="s">
        <v>99</v>
      </c>
      <c r="J407" t="s">
        <v>3122</v>
      </c>
      <c r="K407" t="s">
        <v>181</v>
      </c>
      <c r="L407" s="13">
        <v>44887.363807870373</v>
      </c>
      <c r="M407" s="13">
        <v>44887.363807870373</v>
      </c>
      <c r="N407" s="13">
        <v>44886.598020833335</v>
      </c>
      <c r="O407" t="s">
        <v>3123</v>
      </c>
      <c r="P407" t="s">
        <v>99</v>
      </c>
      <c r="Q407" t="s">
        <v>5468</v>
      </c>
      <c r="R407" t="s">
        <v>99</v>
      </c>
      <c r="S407" t="s">
        <v>99</v>
      </c>
      <c r="T407" t="s">
        <v>1218</v>
      </c>
      <c r="U407" t="s">
        <v>133</v>
      </c>
      <c r="V407" t="s">
        <v>99</v>
      </c>
      <c r="W407" t="s">
        <v>4496</v>
      </c>
      <c r="X407" t="s">
        <v>3124</v>
      </c>
      <c r="Y407" t="s">
        <v>5469</v>
      </c>
      <c r="Z407" t="s">
        <v>4526</v>
      </c>
    </row>
    <row r="408" spans="1:26">
      <c r="A408" t="s">
        <v>5470</v>
      </c>
      <c r="B408" t="s">
        <v>222</v>
      </c>
      <c r="C408">
        <v>2019</v>
      </c>
      <c r="D408" t="s">
        <v>3104</v>
      </c>
      <c r="E408" t="s">
        <v>3105</v>
      </c>
      <c r="F408" t="s">
        <v>3106</v>
      </c>
      <c r="G408" t="s">
        <v>3107</v>
      </c>
      <c r="H408" t="s">
        <v>99</v>
      </c>
      <c r="I408" t="s">
        <v>99</v>
      </c>
      <c r="J408" t="s">
        <v>3108</v>
      </c>
      <c r="K408" t="s">
        <v>271</v>
      </c>
      <c r="L408" s="13">
        <v>44887.363807870373</v>
      </c>
      <c r="M408" s="13">
        <v>44887.363807870373</v>
      </c>
      <c r="N408" s="13">
        <v>44886.598020833335</v>
      </c>
      <c r="O408" t="s">
        <v>3109</v>
      </c>
      <c r="P408" t="s">
        <v>99</v>
      </c>
      <c r="Q408" t="s">
        <v>5471</v>
      </c>
      <c r="R408" t="s">
        <v>99</v>
      </c>
      <c r="S408" t="s">
        <v>99</v>
      </c>
      <c r="T408" t="s">
        <v>1226</v>
      </c>
      <c r="U408" t="s">
        <v>1227</v>
      </c>
      <c r="V408" t="s">
        <v>4495</v>
      </c>
      <c r="W408" t="s">
        <v>4496</v>
      </c>
      <c r="X408" t="s">
        <v>3110</v>
      </c>
      <c r="Y408" t="s">
        <v>5472</v>
      </c>
      <c r="Z408" t="s">
        <v>99</v>
      </c>
    </row>
    <row r="409" spans="1:26">
      <c r="A409" t="s">
        <v>5473</v>
      </c>
      <c r="B409" t="s">
        <v>222</v>
      </c>
      <c r="C409">
        <v>2017</v>
      </c>
      <c r="D409" t="s">
        <v>3058</v>
      </c>
      <c r="E409" t="s">
        <v>3059</v>
      </c>
      <c r="F409" t="s">
        <v>2269</v>
      </c>
      <c r="G409" t="s">
        <v>2703</v>
      </c>
      <c r="H409" t="s">
        <v>99</v>
      </c>
      <c r="I409" t="s">
        <v>99</v>
      </c>
      <c r="J409" t="s">
        <v>3060</v>
      </c>
      <c r="K409" t="s">
        <v>156</v>
      </c>
      <c r="L409" s="13">
        <v>44887.363807870373</v>
      </c>
      <c r="M409" s="13">
        <v>44887.363807870373</v>
      </c>
      <c r="N409" s="13">
        <v>44886.598009259258</v>
      </c>
      <c r="O409" t="s">
        <v>3061</v>
      </c>
      <c r="P409" t="s">
        <v>99</v>
      </c>
      <c r="Q409" t="s">
        <v>4616</v>
      </c>
      <c r="R409" t="s">
        <v>99</v>
      </c>
      <c r="S409" t="s">
        <v>99</v>
      </c>
      <c r="T409" t="s">
        <v>1226</v>
      </c>
      <c r="U409" t="s">
        <v>1227</v>
      </c>
      <c r="V409" t="s">
        <v>4495</v>
      </c>
      <c r="W409" t="s">
        <v>4496</v>
      </c>
      <c r="X409" t="s">
        <v>3062</v>
      </c>
      <c r="Y409" t="s">
        <v>4617</v>
      </c>
      <c r="Z409" t="s">
        <v>99</v>
      </c>
    </row>
    <row r="410" spans="1:26">
      <c r="A410" t="s">
        <v>5474</v>
      </c>
      <c r="B410" t="s">
        <v>135</v>
      </c>
      <c r="C410">
        <v>2014</v>
      </c>
      <c r="D410" t="s">
        <v>3050</v>
      </c>
      <c r="E410" t="s">
        <v>3051</v>
      </c>
      <c r="F410" t="s">
        <v>3052</v>
      </c>
      <c r="G410" t="s">
        <v>99</v>
      </c>
      <c r="H410" t="s">
        <v>3053</v>
      </c>
      <c r="I410" t="s">
        <v>3054</v>
      </c>
      <c r="J410" t="s">
        <v>3055</v>
      </c>
      <c r="K410" t="s">
        <v>3056</v>
      </c>
      <c r="L410" s="13">
        <v>44887.363807870373</v>
      </c>
      <c r="M410" s="13">
        <v>44887.363807870373</v>
      </c>
      <c r="N410" s="13">
        <v>44886.597997685189</v>
      </c>
      <c r="O410" t="s">
        <v>3057</v>
      </c>
      <c r="P410" t="s">
        <v>182</v>
      </c>
      <c r="Q410" t="s">
        <v>3584</v>
      </c>
      <c r="R410" t="s">
        <v>3052</v>
      </c>
      <c r="S410" t="s">
        <v>99</v>
      </c>
      <c r="T410" t="s">
        <v>99</v>
      </c>
      <c r="U410" t="s">
        <v>99</v>
      </c>
      <c r="V410" t="s">
        <v>4495</v>
      </c>
      <c r="W410" t="s">
        <v>4496</v>
      </c>
      <c r="X410" t="s">
        <v>99</v>
      </c>
      <c r="Y410" t="s">
        <v>99</v>
      </c>
      <c r="Z410" t="s">
        <v>99</v>
      </c>
    </row>
    <row r="411" spans="1:26">
      <c r="A411" t="s">
        <v>5475</v>
      </c>
      <c r="B411" t="s">
        <v>222</v>
      </c>
      <c r="C411">
        <v>2005</v>
      </c>
      <c r="D411" t="s">
        <v>3031</v>
      </c>
      <c r="E411" t="s">
        <v>3032</v>
      </c>
      <c r="F411" t="s">
        <v>3033</v>
      </c>
      <c r="G411" t="s">
        <v>3034</v>
      </c>
      <c r="H411" t="s">
        <v>99</v>
      </c>
      <c r="I411" t="s">
        <v>99</v>
      </c>
      <c r="J411" t="s">
        <v>3035</v>
      </c>
      <c r="K411" t="s">
        <v>846</v>
      </c>
      <c r="L411" s="13">
        <v>44887.363807870373</v>
      </c>
      <c r="M411" s="13">
        <v>44887.363807870373</v>
      </c>
      <c r="N411" s="13">
        <v>44886.597986111112</v>
      </c>
      <c r="O411" t="s">
        <v>3036</v>
      </c>
      <c r="P411" t="s">
        <v>99</v>
      </c>
      <c r="Q411" t="s">
        <v>251</v>
      </c>
      <c r="R411" t="s">
        <v>99</v>
      </c>
      <c r="S411" t="s">
        <v>5476</v>
      </c>
      <c r="T411" t="s">
        <v>132</v>
      </c>
      <c r="U411" t="s">
        <v>2436</v>
      </c>
      <c r="V411" t="s">
        <v>4723</v>
      </c>
      <c r="W411" t="s">
        <v>4496</v>
      </c>
      <c r="X411" t="s">
        <v>3037</v>
      </c>
      <c r="Y411" t="s">
        <v>99</v>
      </c>
      <c r="Z411" t="s">
        <v>99</v>
      </c>
    </row>
    <row r="412" spans="1:26">
      <c r="A412" t="s">
        <v>5477</v>
      </c>
      <c r="B412" t="s">
        <v>222</v>
      </c>
      <c r="C412">
        <v>2022</v>
      </c>
      <c r="D412" t="s">
        <v>3020</v>
      </c>
      <c r="E412" t="s">
        <v>3021</v>
      </c>
      <c r="F412" t="s">
        <v>3022</v>
      </c>
      <c r="G412" t="s">
        <v>3023</v>
      </c>
      <c r="H412" t="s">
        <v>99</v>
      </c>
      <c r="I412" t="s">
        <v>99</v>
      </c>
      <c r="J412" t="s">
        <v>3024</v>
      </c>
      <c r="K412" t="s">
        <v>123</v>
      </c>
      <c r="L412" s="13">
        <v>44887.363807870373</v>
      </c>
      <c r="M412" s="13">
        <v>44887.363807870373</v>
      </c>
      <c r="N412" s="13">
        <v>44886.597974537035</v>
      </c>
      <c r="O412" t="s">
        <v>2887</v>
      </c>
      <c r="P412" t="s">
        <v>99</v>
      </c>
      <c r="Q412" t="s">
        <v>5478</v>
      </c>
      <c r="R412" t="s">
        <v>99</v>
      </c>
      <c r="S412" t="s">
        <v>5479</v>
      </c>
      <c r="T412" t="s">
        <v>3025</v>
      </c>
      <c r="U412" t="s">
        <v>1227</v>
      </c>
      <c r="V412" t="s">
        <v>4495</v>
      </c>
      <c r="W412" t="s">
        <v>4496</v>
      </c>
      <c r="X412" t="s">
        <v>3026</v>
      </c>
      <c r="Y412" t="s">
        <v>4602</v>
      </c>
      <c r="Z412" t="s">
        <v>99</v>
      </c>
    </row>
    <row r="413" spans="1:26">
      <c r="A413" t="s">
        <v>5480</v>
      </c>
      <c r="B413" t="s">
        <v>222</v>
      </c>
      <c r="C413">
        <v>2011</v>
      </c>
      <c r="D413" t="s">
        <v>3043</v>
      </c>
      <c r="E413" t="s">
        <v>3044</v>
      </c>
      <c r="F413" t="s">
        <v>3045</v>
      </c>
      <c r="G413" t="s">
        <v>3046</v>
      </c>
      <c r="H413" t="s">
        <v>99</v>
      </c>
      <c r="I413" t="s">
        <v>99</v>
      </c>
      <c r="J413" t="s">
        <v>3047</v>
      </c>
      <c r="K413" t="s">
        <v>102</v>
      </c>
      <c r="L413" s="13">
        <v>44887.363807870373</v>
      </c>
      <c r="M413" s="13">
        <v>44887.363807870373</v>
      </c>
      <c r="N413" s="13">
        <v>44886.597997685189</v>
      </c>
      <c r="O413" t="s">
        <v>3048</v>
      </c>
      <c r="P413" t="s">
        <v>99</v>
      </c>
      <c r="Q413" t="s">
        <v>4690</v>
      </c>
      <c r="R413" t="s">
        <v>99</v>
      </c>
      <c r="S413" t="s">
        <v>99</v>
      </c>
      <c r="T413" t="s">
        <v>1218</v>
      </c>
      <c r="U413" t="s">
        <v>133</v>
      </c>
      <c r="V413" t="s">
        <v>99</v>
      </c>
      <c r="W413" t="s">
        <v>4496</v>
      </c>
      <c r="X413" t="s">
        <v>3049</v>
      </c>
      <c r="Y413" t="s">
        <v>5481</v>
      </c>
      <c r="Z413" t="s">
        <v>5172</v>
      </c>
    </row>
    <row r="414" spans="1:26">
      <c r="A414" t="s">
        <v>5482</v>
      </c>
      <c r="B414" t="s">
        <v>222</v>
      </c>
      <c r="C414">
        <v>1991</v>
      </c>
      <c r="D414" t="s">
        <v>2860</v>
      </c>
      <c r="E414" t="s">
        <v>3027</v>
      </c>
      <c r="F414" t="s">
        <v>2862</v>
      </c>
      <c r="G414" t="s">
        <v>2863</v>
      </c>
      <c r="H414" t="s">
        <v>99</v>
      </c>
      <c r="I414" t="s">
        <v>99</v>
      </c>
      <c r="J414" t="s">
        <v>3028</v>
      </c>
      <c r="K414" t="s">
        <v>2050</v>
      </c>
      <c r="L414" s="13">
        <v>44887.363807870373</v>
      </c>
      <c r="M414" s="13">
        <v>44887.363807870373</v>
      </c>
      <c r="N414" s="13">
        <v>44886.597974537035</v>
      </c>
      <c r="O414" t="s">
        <v>3029</v>
      </c>
      <c r="P414" t="s">
        <v>99</v>
      </c>
      <c r="Q414" t="s">
        <v>99</v>
      </c>
      <c r="R414" t="s">
        <v>99</v>
      </c>
      <c r="S414" t="s">
        <v>37</v>
      </c>
      <c r="T414" t="s">
        <v>1331</v>
      </c>
      <c r="U414" t="s">
        <v>1332</v>
      </c>
      <c r="V414" t="s">
        <v>4495</v>
      </c>
      <c r="W414" t="s">
        <v>4496</v>
      </c>
      <c r="X414" t="s">
        <v>3030</v>
      </c>
      <c r="Y414" t="s">
        <v>99</v>
      </c>
      <c r="Z414" t="s">
        <v>99</v>
      </c>
    </row>
    <row r="415" spans="1:26">
      <c r="A415" t="s">
        <v>5483</v>
      </c>
      <c r="B415" t="s">
        <v>222</v>
      </c>
      <c r="C415">
        <v>2011</v>
      </c>
      <c r="D415" t="s">
        <v>3013</v>
      </c>
      <c r="E415" t="s">
        <v>3014</v>
      </c>
      <c r="F415" t="s">
        <v>3015</v>
      </c>
      <c r="G415" t="s">
        <v>3016</v>
      </c>
      <c r="H415" t="s">
        <v>99</v>
      </c>
      <c r="I415" t="s">
        <v>99</v>
      </c>
      <c r="J415" t="s">
        <v>3017</v>
      </c>
      <c r="K415" t="s">
        <v>102</v>
      </c>
      <c r="L415" s="13">
        <v>44887.363807870373</v>
      </c>
      <c r="M415" s="13">
        <v>44887.363807870373</v>
      </c>
      <c r="N415" s="13">
        <v>44886.597974537035</v>
      </c>
      <c r="O415" t="s">
        <v>3018</v>
      </c>
      <c r="P415" t="s">
        <v>99</v>
      </c>
      <c r="Q415" t="s">
        <v>5484</v>
      </c>
      <c r="R415" t="s">
        <v>99</v>
      </c>
      <c r="S415" t="s">
        <v>5485</v>
      </c>
      <c r="T415" t="s">
        <v>1218</v>
      </c>
      <c r="U415" t="s">
        <v>133</v>
      </c>
      <c r="V415" t="s">
        <v>99</v>
      </c>
      <c r="W415" t="s">
        <v>4496</v>
      </c>
      <c r="X415" t="s">
        <v>3019</v>
      </c>
      <c r="Y415" t="s">
        <v>5486</v>
      </c>
      <c r="Z415" t="s">
        <v>99</v>
      </c>
    </row>
    <row r="416" spans="1:26">
      <c r="A416" t="s">
        <v>5487</v>
      </c>
      <c r="B416" t="s">
        <v>222</v>
      </c>
      <c r="C416">
        <v>2008</v>
      </c>
      <c r="D416" t="s">
        <v>2985</v>
      </c>
      <c r="E416" t="s">
        <v>2986</v>
      </c>
      <c r="F416" t="s">
        <v>2987</v>
      </c>
      <c r="G416" t="s">
        <v>2988</v>
      </c>
      <c r="H416" t="s">
        <v>99</v>
      </c>
      <c r="I416" t="s">
        <v>99</v>
      </c>
      <c r="J416" t="s">
        <v>2989</v>
      </c>
      <c r="K416" t="s">
        <v>736</v>
      </c>
      <c r="L416" s="13">
        <v>44887.363807870373</v>
      </c>
      <c r="M416" s="13">
        <v>44887.363807870373</v>
      </c>
      <c r="N416" s="13">
        <v>44886.597997685189</v>
      </c>
      <c r="O416" t="s">
        <v>2990</v>
      </c>
      <c r="P416" t="s">
        <v>99</v>
      </c>
      <c r="Q416" t="s">
        <v>5488</v>
      </c>
      <c r="R416" t="s">
        <v>99</v>
      </c>
      <c r="S416" t="s">
        <v>99</v>
      </c>
      <c r="T416" t="s">
        <v>1218</v>
      </c>
      <c r="U416" t="s">
        <v>133</v>
      </c>
      <c r="V416" t="s">
        <v>99</v>
      </c>
      <c r="W416" t="s">
        <v>4496</v>
      </c>
      <c r="X416" t="s">
        <v>2991</v>
      </c>
      <c r="Y416" t="s">
        <v>5489</v>
      </c>
      <c r="Z416" t="s">
        <v>99</v>
      </c>
    </row>
    <row r="417" spans="1:26">
      <c r="A417" t="s">
        <v>5490</v>
      </c>
      <c r="B417" t="s">
        <v>222</v>
      </c>
      <c r="C417">
        <v>2015</v>
      </c>
      <c r="D417" t="s">
        <v>2964</v>
      </c>
      <c r="E417" t="s">
        <v>2965</v>
      </c>
      <c r="F417" t="s">
        <v>2966</v>
      </c>
      <c r="G417" t="s">
        <v>2967</v>
      </c>
      <c r="H417" t="s">
        <v>99</v>
      </c>
      <c r="I417" t="s">
        <v>99</v>
      </c>
      <c r="J417" t="s">
        <v>2968</v>
      </c>
      <c r="K417" t="s">
        <v>564</v>
      </c>
      <c r="L417" s="13">
        <v>44887.363807870373</v>
      </c>
      <c r="M417" s="13">
        <v>44887.363807870373</v>
      </c>
      <c r="N417" s="13">
        <v>44886.59814814815</v>
      </c>
      <c r="O417" t="s">
        <v>2969</v>
      </c>
      <c r="P417" t="s">
        <v>99</v>
      </c>
      <c r="Q417" t="s">
        <v>5491</v>
      </c>
      <c r="R417" t="s">
        <v>99</v>
      </c>
      <c r="S417" t="s">
        <v>99</v>
      </c>
      <c r="T417" t="s">
        <v>1226</v>
      </c>
      <c r="U417" t="s">
        <v>1227</v>
      </c>
      <c r="V417" t="s">
        <v>99</v>
      </c>
      <c r="W417" t="s">
        <v>4496</v>
      </c>
      <c r="X417" t="s">
        <v>2970</v>
      </c>
      <c r="Y417" t="s">
        <v>5492</v>
      </c>
      <c r="Z417" t="s">
        <v>99</v>
      </c>
    </row>
    <row r="418" spans="1:26">
      <c r="A418" t="s">
        <v>5493</v>
      </c>
      <c r="B418" t="s">
        <v>222</v>
      </c>
      <c r="C418">
        <v>2022</v>
      </c>
      <c r="D418" t="s">
        <v>3007</v>
      </c>
      <c r="E418" t="s">
        <v>3008</v>
      </c>
      <c r="F418" t="s">
        <v>2884</v>
      </c>
      <c r="G418" t="s">
        <v>3009</v>
      </c>
      <c r="H418" t="s">
        <v>99</v>
      </c>
      <c r="I418" t="s">
        <v>99</v>
      </c>
      <c r="J418" t="s">
        <v>3010</v>
      </c>
      <c r="K418" t="s">
        <v>123</v>
      </c>
      <c r="L418" s="13">
        <v>44887.363807870373</v>
      </c>
      <c r="M418" s="13">
        <v>44887.363807870373</v>
      </c>
      <c r="N418" s="13">
        <v>44886.597962962966</v>
      </c>
      <c r="O418" t="s">
        <v>3011</v>
      </c>
      <c r="P418" t="s">
        <v>99</v>
      </c>
      <c r="Q418" t="s">
        <v>5494</v>
      </c>
      <c r="R418" t="s">
        <v>99</v>
      </c>
      <c r="S418" t="s">
        <v>5495</v>
      </c>
      <c r="T418" t="s">
        <v>1226</v>
      </c>
      <c r="U418" t="s">
        <v>1227</v>
      </c>
      <c r="V418" t="s">
        <v>4495</v>
      </c>
      <c r="W418" t="s">
        <v>4496</v>
      </c>
      <c r="X418" t="s">
        <v>3012</v>
      </c>
      <c r="Y418" t="s">
        <v>5496</v>
      </c>
      <c r="Z418" t="s">
        <v>99</v>
      </c>
    </row>
    <row r="419" spans="1:26">
      <c r="A419" t="s">
        <v>5497</v>
      </c>
      <c r="B419" t="s">
        <v>222</v>
      </c>
      <c r="C419">
        <v>2022</v>
      </c>
      <c r="D419" t="s">
        <v>3000</v>
      </c>
      <c r="E419" t="s">
        <v>3001</v>
      </c>
      <c r="F419" t="s">
        <v>3002</v>
      </c>
      <c r="G419" t="s">
        <v>3003</v>
      </c>
      <c r="H419" t="s">
        <v>99</v>
      </c>
      <c r="I419" t="s">
        <v>99</v>
      </c>
      <c r="J419" t="s">
        <v>3004</v>
      </c>
      <c r="K419" t="s">
        <v>123</v>
      </c>
      <c r="L419" s="13">
        <v>44887.363807870373</v>
      </c>
      <c r="M419" s="13">
        <v>44887.363807870373</v>
      </c>
      <c r="N419" s="13">
        <v>44886.597962962966</v>
      </c>
      <c r="O419" t="s">
        <v>3005</v>
      </c>
      <c r="P419" t="s">
        <v>99</v>
      </c>
      <c r="Q419" t="s">
        <v>5498</v>
      </c>
      <c r="R419" t="s">
        <v>99</v>
      </c>
      <c r="S419" t="s">
        <v>99</v>
      </c>
      <c r="T419" t="s">
        <v>1362</v>
      </c>
      <c r="U419" t="s">
        <v>1363</v>
      </c>
      <c r="V419" t="s">
        <v>4495</v>
      </c>
      <c r="W419" t="s">
        <v>4496</v>
      </c>
      <c r="X419" t="s">
        <v>3006</v>
      </c>
      <c r="Y419" t="s">
        <v>5499</v>
      </c>
      <c r="Z419" t="s">
        <v>99</v>
      </c>
    </row>
    <row r="420" spans="1:26">
      <c r="A420" t="s">
        <v>5500</v>
      </c>
      <c r="B420" t="s">
        <v>135</v>
      </c>
      <c r="C420">
        <v>2010</v>
      </c>
      <c r="D420" t="s">
        <v>2992</v>
      </c>
      <c r="E420" t="s">
        <v>2993</v>
      </c>
      <c r="F420" t="s">
        <v>2994</v>
      </c>
      <c r="G420" t="s">
        <v>99</v>
      </c>
      <c r="H420" t="s">
        <v>2995</v>
      </c>
      <c r="I420" t="s">
        <v>2996</v>
      </c>
      <c r="J420" t="s">
        <v>2997</v>
      </c>
      <c r="K420" t="s">
        <v>2998</v>
      </c>
      <c r="L420" s="13">
        <v>44887.363807870373</v>
      </c>
      <c r="M420" s="13">
        <v>44887.363807870373</v>
      </c>
      <c r="N420" s="13">
        <v>44886.597997685189</v>
      </c>
      <c r="O420" t="s">
        <v>2999</v>
      </c>
      <c r="P420" t="s">
        <v>363</v>
      </c>
      <c r="Q420" t="s">
        <v>4502</v>
      </c>
      <c r="R420" t="s">
        <v>5501</v>
      </c>
      <c r="S420" t="s">
        <v>99</v>
      </c>
      <c r="T420" t="s">
        <v>99</v>
      </c>
      <c r="U420" t="s">
        <v>99</v>
      </c>
      <c r="V420" t="s">
        <v>4495</v>
      </c>
      <c r="W420" t="s">
        <v>4496</v>
      </c>
      <c r="X420" t="s">
        <v>99</v>
      </c>
      <c r="Y420" t="s">
        <v>99</v>
      </c>
      <c r="Z420" t="s">
        <v>99</v>
      </c>
    </row>
    <row r="421" spans="1:26">
      <c r="A421" t="s">
        <v>5502</v>
      </c>
      <c r="B421" t="s">
        <v>222</v>
      </c>
      <c r="C421">
        <v>2014</v>
      </c>
      <c r="D421" t="s">
        <v>2978</v>
      </c>
      <c r="E421" t="s">
        <v>2979</v>
      </c>
      <c r="F421" t="s">
        <v>2980</v>
      </c>
      <c r="G421" t="s">
        <v>2981</v>
      </c>
      <c r="H421" t="s">
        <v>99</v>
      </c>
      <c r="I421" t="s">
        <v>99</v>
      </c>
      <c r="J421" t="s">
        <v>2982</v>
      </c>
      <c r="K421" t="s">
        <v>400</v>
      </c>
      <c r="L421" s="13">
        <v>44887.363807870373</v>
      </c>
      <c r="M421" s="13">
        <v>44887.363807870373</v>
      </c>
      <c r="N421" s="13">
        <v>44886.598055555558</v>
      </c>
      <c r="O421" t="s">
        <v>2983</v>
      </c>
      <c r="P421" t="s">
        <v>99</v>
      </c>
      <c r="Q421" t="s">
        <v>5503</v>
      </c>
      <c r="R421" t="s">
        <v>99</v>
      </c>
      <c r="S421" t="s">
        <v>99</v>
      </c>
      <c r="T421" t="s">
        <v>1218</v>
      </c>
      <c r="U421" t="s">
        <v>133</v>
      </c>
      <c r="V421" t="s">
        <v>99</v>
      </c>
      <c r="W421" t="s">
        <v>4496</v>
      </c>
      <c r="X421" t="s">
        <v>2984</v>
      </c>
      <c r="Y421" t="s">
        <v>4602</v>
      </c>
      <c r="Z421" t="s">
        <v>99</v>
      </c>
    </row>
    <row r="422" spans="1:26">
      <c r="A422" t="s">
        <v>5504</v>
      </c>
      <c r="B422" t="s">
        <v>222</v>
      </c>
      <c r="C422">
        <v>2019</v>
      </c>
      <c r="D422" t="s">
        <v>2971</v>
      </c>
      <c r="E422" t="s">
        <v>2972</v>
      </c>
      <c r="F422" t="s">
        <v>2973</v>
      </c>
      <c r="G422" t="s">
        <v>2974</v>
      </c>
      <c r="H422" t="s">
        <v>99</v>
      </c>
      <c r="I422" t="s">
        <v>99</v>
      </c>
      <c r="J422" t="s">
        <v>2975</v>
      </c>
      <c r="K422" t="s">
        <v>271</v>
      </c>
      <c r="L422" s="13">
        <v>44887.363807870373</v>
      </c>
      <c r="M422" s="13">
        <v>44887.363807870373</v>
      </c>
      <c r="N422" s="13">
        <v>44886.598136574074</v>
      </c>
      <c r="O422" t="s">
        <v>2976</v>
      </c>
      <c r="P422" t="s">
        <v>99</v>
      </c>
      <c r="Q422" t="s">
        <v>5505</v>
      </c>
      <c r="R422" t="s">
        <v>99</v>
      </c>
      <c r="S422" t="s">
        <v>5506</v>
      </c>
      <c r="T422" t="s">
        <v>1226</v>
      </c>
      <c r="U422" t="s">
        <v>1227</v>
      </c>
      <c r="V422" t="s">
        <v>4495</v>
      </c>
      <c r="W422" t="s">
        <v>4496</v>
      </c>
      <c r="X422" t="s">
        <v>2977</v>
      </c>
      <c r="Y422" t="s">
        <v>5507</v>
      </c>
      <c r="Z422" t="s">
        <v>99</v>
      </c>
    </row>
    <row r="423" spans="1:26">
      <c r="A423" t="s">
        <v>5508</v>
      </c>
      <c r="B423" t="s">
        <v>222</v>
      </c>
      <c r="C423">
        <v>2011</v>
      </c>
      <c r="D423" t="s">
        <v>2950</v>
      </c>
      <c r="E423" t="s">
        <v>2951</v>
      </c>
      <c r="F423" t="s">
        <v>2952</v>
      </c>
      <c r="G423" t="s">
        <v>2953</v>
      </c>
      <c r="H423" t="s">
        <v>99</v>
      </c>
      <c r="I423" t="s">
        <v>99</v>
      </c>
      <c r="J423" t="s">
        <v>2954</v>
      </c>
      <c r="K423" t="s">
        <v>102</v>
      </c>
      <c r="L423" s="13">
        <v>44887.363807870373</v>
      </c>
      <c r="M423" s="13">
        <v>44887.363807870373</v>
      </c>
      <c r="N423" s="13">
        <v>44886.598171296297</v>
      </c>
      <c r="O423" t="s">
        <v>2955</v>
      </c>
      <c r="P423" t="s">
        <v>99</v>
      </c>
      <c r="Q423" t="s">
        <v>5509</v>
      </c>
      <c r="R423" t="s">
        <v>99</v>
      </c>
      <c r="S423" t="s">
        <v>99</v>
      </c>
      <c r="T423" t="s">
        <v>1218</v>
      </c>
      <c r="U423" t="s">
        <v>133</v>
      </c>
      <c r="V423" t="s">
        <v>4495</v>
      </c>
      <c r="W423" t="s">
        <v>4496</v>
      </c>
      <c r="X423" t="s">
        <v>2956</v>
      </c>
      <c r="Y423" t="s">
        <v>5510</v>
      </c>
      <c r="Z423" t="s">
        <v>99</v>
      </c>
    </row>
    <row r="424" spans="1:26">
      <c r="A424" t="s">
        <v>5511</v>
      </c>
      <c r="B424" t="s">
        <v>222</v>
      </c>
      <c r="C424">
        <v>2007</v>
      </c>
      <c r="D424" t="s">
        <v>1492</v>
      </c>
      <c r="E424" t="s">
        <v>1493</v>
      </c>
      <c r="F424" t="s">
        <v>1494</v>
      </c>
      <c r="G424" t="s">
        <v>1495</v>
      </c>
      <c r="H424" t="s">
        <v>99</v>
      </c>
      <c r="I424" t="s">
        <v>99</v>
      </c>
      <c r="J424" t="s">
        <v>1496</v>
      </c>
      <c r="K424" t="s">
        <v>666</v>
      </c>
      <c r="L424" s="13">
        <v>44887.363807870373</v>
      </c>
      <c r="M424" s="13">
        <v>44887.363807870373</v>
      </c>
      <c r="N424" s="13">
        <v>44886.598067129627</v>
      </c>
      <c r="O424" t="s">
        <v>1497</v>
      </c>
      <c r="P424" t="s">
        <v>99</v>
      </c>
      <c r="Q424" t="s">
        <v>5512</v>
      </c>
      <c r="R424" t="s">
        <v>99</v>
      </c>
      <c r="S424" t="s">
        <v>99</v>
      </c>
      <c r="T424" t="s">
        <v>1218</v>
      </c>
      <c r="U424" t="s">
        <v>133</v>
      </c>
      <c r="V424" t="s">
        <v>4495</v>
      </c>
      <c r="W424" t="s">
        <v>4496</v>
      </c>
      <c r="X424" t="s">
        <v>1498</v>
      </c>
      <c r="Y424" t="s">
        <v>5513</v>
      </c>
      <c r="Z424" t="s">
        <v>4568</v>
      </c>
    </row>
    <row r="425" spans="1:26">
      <c r="A425" t="s">
        <v>5514</v>
      </c>
      <c r="B425" t="s">
        <v>222</v>
      </c>
      <c r="C425">
        <v>2022</v>
      </c>
      <c r="D425" t="s">
        <v>1506</v>
      </c>
      <c r="E425" t="s">
        <v>1507</v>
      </c>
      <c r="F425" t="s">
        <v>1508</v>
      </c>
      <c r="G425" t="s">
        <v>1509</v>
      </c>
      <c r="H425" t="s">
        <v>99</v>
      </c>
      <c r="I425" t="s">
        <v>99</v>
      </c>
      <c r="J425" t="s">
        <v>1510</v>
      </c>
      <c r="K425" t="s">
        <v>123</v>
      </c>
      <c r="L425" s="13">
        <v>44887.363807870373</v>
      </c>
      <c r="M425" s="13">
        <v>44887.363807870373</v>
      </c>
      <c r="N425" s="13">
        <v>44886.598067129627</v>
      </c>
      <c r="O425" t="s">
        <v>1511</v>
      </c>
      <c r="P425" t="s">
        <v>99</v>
      </c>
      <c r="Q425" t="s">
        <v>5515</v>
      </c>
      <c r="R425" t="s">
        <v>99</v>
      </c>
      <c r="S425" t="s">
        <v>5516</v>
      </c>
      <c r="T425" t="s">
        <v>1226</v>
      </c>
      <c r="U425" t="s">
        <v>1227</v>
      </c>
      <c r="V425" t="s">
        <v>4495</v>
      </c>
      <c r="W425" t="s">
        <v>4496</v>
      </c>
      <c r="X425" t="s">
        <v>1512</v>
      </c>
      <c r="Y425" t="s">
        <v>5517</v>
      </c>
      <c r="Z425" t="s">
        <v>99</v>
      </c>
    </row>
    <row r="426" spans="1:26">
      <c r="A426" t="s">
        <v>5518</v>
      </c>
      <c r="B426" t="s">
        <v>222</v>
      </c>
      <c r="C426">
        <v>2021</v>
      </c>
      <c r="D426" t="s">
        <v>1456</v>
      </c>
      <c r="E426" t="s">
        <v>1457</v>
      </c>
      <c r="F426" t="s">
        <v>1458</v>
      </c>
      <c r="G426" t="s">
        <v>1459</v>
      </c>
      <c r="H426" t="s">
        <v>99</v>
      </c>
      <c r="I426" t="s">
        <v>99</v>
      </c>
      <c r="J426" t="s">
        <v>1460</v>
      </c>
      <c r="K426" t="s">
        <v>113</v>
      </c>
      <c r="L426" s="13">
        <v>44887.363807870373</v>
      </c>
      <c r="M426" s="13">
        <v>44887.363807870373</v>
      </c>
      <c r="N426" s="13">
        <v>44886.598043981481</v>
      </c>
      <c r="O426" t="s">
        <v>1461</v>
      </c>
      <c r="P426" t="s">
        <v>99</v>
      </c>
      <c r="Q426" t="s">
        <v>5519</v>
      </c>
      <c r="R426" t="s">
        <v>99</v>
      </c>
      <c r="S426" t="s">
        <v>99</v>
      </c>
      <c r="T426" t="s">
        <v>1226</v>
      </c>
      <c r="U426" t="s">
        <v>1227</v>
      </c>
      <c r="V426" t="s">
        <v>4495</v>
      </c>
      <c r="W426" t="s">
        <v>4496</v>
      </c>
      <c r="X426" t="s">
        <v>1462</v>
      </c>
      <c r="Y426" t="s">
        <v>5520</v>
      </c>
      <c r="Z426" t="s">
        <v>99</v>
      </c>
    </row>
    <row r="427" spans="1:26">
      <c r="A427" t="s">
        <v>5521</v>
      </c>
      <c r="B427" t="s">
        <v>222</v>
      </c>
      <c r="C427">
        <v>2011</v>
      </c>
      <c r="D427" t="s">
        <v>1444</v>
      </c>
      <c r="E427" t="s">
        <v>1445</v>
      </c>
      <c r="F427" t="s">
        <v>1446</v>
      </c>
      <c r="G427" t="s">
        <v>1447</v>
      </c>
      <c r="H427" t="s">
        <v>99</v>
      </c>
      <c r="I427" t="s">
        <v>99</v>
      </c>
      <c r="J427" t="s">
        <v>1448</v>
      </c>
      <c r="K427" t="s">
        <v>102</v>
      </c>
      <c r="L427" s="13">
        <v>44887.363807870373</v>
      </c>
      <c r="M427" s="13">
        <v>44887.363807870373</v>
      </c>
      <c r="N427" s="13">
        <v>44886.598032407404</v>
      </c>
      <c r="O427" t="s">
        <v>1449</v>
      </c>
      <c r="P427" t="s">
        <v>99</v>
      </c>
      <c r="Q427" t="s">
        <v>5522</v>
      </c>
      <c r="R427" t="s">
        <v>99</v>
      </c>
      <c r="S427" t="s">
        <v>99</v>
      </c>
      <c r="T427" t="s">
        <v>1218</v>
      </c>
      <c r="U427" t="s">
        <v>133</v>
      </c>
      <c r="V427" t="s">
        <v>99</v>
      </c>
      <c r="W427" t="s">
        <v>4496</v>
      </c>
      <c r="X427" t="s">
        <v>1450</v>
      </c>
      <c r="Y427" t="s">
        <v>5523</v>
      </c>
      <c r="Z427" t="s">
        <v>99</v>
      </c>
    </row>
    <row r="428" spans="1:26">
      <c r="A428" t="s">
        <v>5524</v>
      </c>
      <c r="B428" t="s">
        <v>222</v>
      </c>
      <c r="C428">
        <v>2010</v>
      </c>
      <c r="D428" t="s">
        <v>1437</v>
      </c>
      <c r="E428" t="s">
        <v>1438</v>
      </c>
      <c r="F428" t="s">
        <v>1439</v>
      </c>
      <c r="G428" t="s">
        <v>1440</v>
      </c>
      <c r="H428" t="s">
        <v>99</v>
      </c>
      <c r="I428" t="s">
        <v>99</v>
      </c>
      <c r="J428" t="s">
        <v>1441</v>
      </c>
      <c r="K428" t="s">
        <v>130</v>
      </c>
      <c r="L428" s="13">
        <v>44887.363807870373</v>
      </c>
      <c r="M428" s="13">
        <v>44887.363807870373</v>
      </c>
      <c r="N428" s="13">
        <v>44886.598032407404</v>
      </c>
      <c r="O428" t="s">
        <v>1442</v>
      </c>
      <c r="P428" t="s">
        <v>99</v>
      </c>
      <c r="Q428" t="s">
        <v>557</v>
      </c>
      <c r="R428" t="s">
        <v>99</v>
      </c>
      <c r="S428" t="s">
        <v>99</v>
      </c>
      <c r="T428" t="s">
        <v>1218</v>
      </c>
      <c r="U428" t="s">
        <v>133</v>
      </c>
      <c r="V428" t="s">
        <v>4495</v>
      </c>
      <c r="W428" t="s">
        <v>4496</v>
      </c>
      <c r="X428" t="s">
        <v>1443</v>
      </c>
      <c r="Y428" t="s">
        <v>5525</v>
      </c>
      <c r="Z428" t="s">
        <v>5526</v>
      </c>
    </row>
    <row r="429" spans="1:26">
      <c r="A429" t="s">
        <v>5527</v>
      </c>
      <c r="B429" t="s">
        <v>222</v>
      </c>
      <c r="C429">
        <v>2015</v>
      </c>
      <c r="D429" t="s">
        <v>1430</v>
      </c>
      <c r="E429" t="s">
        <v>1431</v>
      </c>
      <c r="F429" t="s">
        <v>1432</v>
      </c>
      <c r="G429" t="s">
        <v>1433</v>
      </c>
      <c r="H429" t="s">
        <v>99</v>
      </c>
      <c r="I429" t="s">
        <v>99</v>
      </c>
      <c r="J429" t="s">
        <v>1434</v>
      </c>
      <c r="K429" t="s">
        <v>564</v>
      </c>
      <c r="L429" s="13">
        <v>44887.363807870373</v>
      </c>
      <c r="M429" s="13">
        <v>44887.363807870373</v>
      </c>
      <c r="N429" s="13">
        <v>44886.598032407404</v>
      </c>
      <c r="O429" t="s">
        <v>1435</v>
      </c>
      <c r="P429" t="s">
        <v>99</v>
      </c>
      <c r="Q429" t="s">
        <v>99</v>
      </c>
      <c r="R429" t="s">
        <v>99</v>
      </c>
      <c r="S429" t="s">
        <v>99</v>
      </c>
      <c r="T429" t="s">
        <v>1362</v>
      </c>
      <c r="U429" t="s">
        <v>1363</v>
      </c>
      <c r="V429" t="s">
        <v>4495</v>
      </c>
      <c r="W429" t="s">
        <v>4496</v>
      </c>
      <c r="X429" t="s">
        <v>1436</v>
      </c>
      <c r="Y429" t="s">
        <v>5528</v>
      </c>
      <c r="Z429" t="s">
        <v>99</v>
      </c>
    </row>
    <row r="430" spans="1:26">
      <c r="A430" t="s">
        <v>5529</v>
      </c>
      <c r="B430" t="s">
        <v>222</v>
      </c>
      <c r="C430">
        <v>2009</v>
      </c>
      <c r="D430" t="s">
        <v>1423</v>
      </c>
      <c r="E430" t="s">
        <v>1424</v>
      </c>
      <c r="F430" t="s">
        <v>1425</v>
      </c>
      <c r="G430" t="s">
        <v>1426</v>
      </c>
      <c r="H430" t="s">
        <v>99</v>
      </c>
      <c r="I430" t="s">
        <v>99</v>
      </c>
      <c r="J430" t="s">
        <v>1427</v>
      </c>
      <c r="K430" t="s">
        <v>615</v>
      </c>
      <c r="L430" s="13">
        <v>44887.363807870373</v>
      </c>
      <c r="M430" s="13">
        <v>44887.363807870373</v>
      </c>
      <c r="N430" s="13">
        <v>44886.598032407404</v>
      </c>
      <c r="O430" t="s">
        <v>1428</v>
      </c>
      <c r="P430" t="s">
        <v>99</v>
      </c>
      <c r="Q430" t="s">
        <v>5530</v>
      </c>
      <c r="R430" t="s">
        <v>99</v>
      </c>
      <c r="S430" t="s">
        <v>99</v>
      </c>
      <c r="T430" t="s">
        <v>1218</v>
      </c>
      <c r="U430" t="s">
        <v>133</v>
      </c>
      <c r="V430" t="s">
        <v>99</v>
      </c>
      <c r="W430" t="s">
        <v>4496</v>
      </c>
      <c r="X430" t="s">
        <v>1429</v>
      </c>
      <c r="Y430" t="s">
        <v>5531</v>
      </c>
      <c r="Z430" t="s">
        <v>99</v>
      </c>
    </row>
    <row r="431" spans="1:26">
      <c r="A431" t="s">
        <v>5532</v>
      </c>
      <c r="B431" t="s">
        <v>222</v>
      </c>
      <c r="C431">
        <v>1995</v>
      </c>
      <c r="D431" t="s">
        <v>1402</v>
      </c>
      <c r="E431" t="s">
        <v>1403</v>
      </c>
      <c r="F431" t="s">
        <v>1404</v>
      </c>
      <c r="G431" t="s">
        <v>1405</v>
      </c>
      <c r="H431" t="s">
        <v>99</v>
      </c>
      <c r="I431" t="s">
        <v>99</v>
      </c>
      <c r="J431" t="s">
        <v>1406</v>
      </c>
      <c r="K431" t="s">
        <v>165</v>
      </c>
      <c r="L431" s="13">
        <v>44887.363807870373</v>
      </c>
      <c r="M431" s="13">
        <v>44887.363807870373</v>
      </c>
      <c r="N431" s="13">
        <v>44886.598020833335</v>
      </c>
      <c r="O431" t="s">
        <v>1407</v>
      </c>
      <c r="P431" t="s">
        <v>99</v>
      </c>
      <c r="Q431" t="s">
        <v>99</v>
      </c>
      <c r="R431" t="s">
        <v>99</v>
      </c>
      <c r="S431" t="s">
        <v>99</v>
      </c>
      <c r="T431" t="s">
        <v>1218</v>
      </c>
      <c r="U431" t="s">
        <v>133</v>
      </c>
      <c r="V431" t="s">
        <v>4495</v>
      </c>
      <c r="W431" t="s">
        <v>4496</v>
      </c>
      <c r="X431" t="s">
        <v>1408</v>
      </c>
      <c r="Y431" t="s">
        <v>5533</v>
      </c>
      <c r="Z431" t="s">
        <v>99</v>
      </c>
    </row>
    <row r="432" spans="1:26">
      <c r="A432" t="s">
        <v>5534</v>
      </c>
      <c r="B432" t="s">
        <v>222</v>
      </c>
      <c r="C432">
        <v>2019</v>
      </c>
      <c r="D432" t="s">
        <v>1471</v>
      </c>
      <c r="E432" t="s">
        <v>1472</v>
      </c>
      <c r="F432" t="s">
        <v>1473</v>
      </c>
      <c r="G432" t="s">
        <v>1474</v>
      </c>
      <c r="H432" t="s">
        <v>99</v>
      </c>
      <c r="I432" t="s">
        <v>99</v>
      </c>
      <c r="J432" t="s">
        <v>1475</v>
      </c>
      <c r="K432" t="s">
        <v>271</v>
      </c>
      <c r="L432" s="13">
        <v>44887.363807870373</v>
      </c>
      <c r="M432" s="13">
        <v>44887.363807870373</v>
      </c>
      <c r="N432" s="13">
        <v>44886.598055555558</v>
      </c>
      <c r="O432" t="s">
        <v>1476</v>
      </c>
      <c r="P432" t="s">
        <v>99</v>
      </c>
      <c r="Q432" t="s">
        <v>5535</v>
      </c>
      <c r="R432" t="s">
        <v>99</v>
      </c>
      <c r="S432" t="s">
        <v>5536</v>
      </c>
      <c r="T432" t="s">
        <v>1226</v>
      </c>
      <c r="U432" t="s">
        <v>1227</v>
      </c>
      <c r="V432" t="s">
        <v>4495</v>
      </c>
      <c r="W432" t="s">
        <v>4496</v>
      </c>
      <c r="X432" t="s">
        <v>1477</v>
      </c>
      <c r="Y432" t="s">
        <v>5537</v>
      </c>
      <c r="Z432" t="s">
        <v>99</v>
      </c>
    </row>
    <row r="433" spans="1:26">
      <c r="A433" t="s">
        <v>5538</v>
      </c>
      <c r="B433" t="s">
        <v>135</v>
      </c>
      <c r="C433">
        <v>2022</v>
      </c>
      <c r="D433" t="s">
        <v>1451</v>
      </c>
      <c r="E433" t="s">
        <v>1452</v>
      </c>
      <c r="F433" t="s">
        <v>1265</v>
      </c>
      <c r="G433" t="s">
        <v>99</v>
      </c>
      <c r="H433" t="s">
        <v>1266</v>
      </c>
      <c r="I433" t="s">
        <v>1453</v>
      </c>
      <c r="J433" t="s">
        <v>1454</v>
      </c>
      <c r="K433" t="s">
        <v>1308</v>
      </c>
      <c r="L433" s="13">
        <v>44887.363807870373</v>
      </c>
      <c r="M433" s="13">
        <v>44887.363807870373</v>
      </c>
      <c r="N433" s="13">
        <v>44886.598043981481</v>
      </c>
      <c r="O433" t="s">
        <v>1455</v>
      </c>
      <c r="P433" t="s">
        <v>288</v>
      </c>
      <c r="Q433" t="s">
        <v>4512</v>
      </c>
      <c r="R433" t="s">
        <v>4513</v>
      </c>
      <c r="S433" t="s">
        <v>99</v>
      </c>
      <c r="T433" t="s">
        <v>99</v>
      </c>
      <c r="U433" t="s">
        <v>99</v>
      </c>
      <c r="V433" t="s">
        <v>4495</v>
      </c>
      <c r="W433" t="s">
        <v>4496</v>
      </c>
      <c r="X433" t="s">
        <v>99</v>
      </c>
      <c r="Y433" t="s">
        <v>99</v>
      </c>
      <c r="Z433" t="s">
        <v>99</v>
      </c>
    </row>
    <row r="434" spans="1:26">
      <c r="A434" t="s">
        <v>5539</v>
      </c>
      <c r="B434" t="s">
        <v>135</v>
      </c>
      <c r="C434">
        <v>2018</v>
      </c>
      <c r="D434" t="s">
        <v>1409</v>
      </c>
      <c r="E434" t="s">
        <v>1410</v>
      </c>
      <c r="F434" t="s">
        <v>1312</v>
      </c>
      <c r="G434" t="s">
        <v>99</v>
      </c>
      <c r="H434" t="s">
        <v>1313</v>
      </c>
      <c r="I434" t="s">
        <v>1411</v>
      </c>
      <c r="J434" t="s">
        <v>1412</v>
      </c>
      <c r="K434" t="s">
        <v>1413</v>
      </c>
      <c r="L434" s="13">
        <v>44887.363807870373</v>
      </c>
      <c r="M434" s="13">
        <v>44887.363807870373</v>
      </c>
      <c r="N434" s="13">
        <v>44886.598020833335</v>
      </c>
      <c r="O434" t="s">
        <v>1414</v>
      </c>
      <c r="P434" t="s">
        <v>182</v>
      </c>
      <c r="Q434" t="s">
        <v>4558</v>
      </c>
      <c r="R434" t="s">
        <v>4510</v>
      </c>
      <c r="S434" t="s">
        <v>99</v>
      </c>
      <c r="T434" t="s">
        <v>99</v>
      </c>
      <c r="U434" t="s">
        <v>99</v>
      </c>
      <c r="V434" t="s">
        <v>4495</v>
      </c>
      <c r="W434" t="s">
        <v>4496</v>
      </c>
      <c r="X434" t="s">
        <v>99</v>
      </c>
      <c r="Y434" t="s">
        <v>99</v>
      </c>
      <c r="Z434" t="s">
        <v>99</v>
      </c>
    </row>
    <row r="435" spans="1:26">
      <c r="A435" t="s">
        <v>5540</v>
      </c>
      <c r="B435" t="s">
        <v>222</v>
      </c>
      <c r="C435">
        <v>2013</v>
      </c>
      <c r="D435" t="s">
        <v>1379</v>
      </c>
      <c r="E435" t="s">
        <v>1380</v>
      </c>
      <c r="F435" t="s">
        <v>1381</v>
      </c>
      <c r="G435" t="s">
        <v>1382</v>
      </c>
      <c r="H435" t="s">
        <v>99</v>
      </c>
      <c r="I435" t="s">
        <v>99</v>
      </c>
      <c r="J435" t="s">
        <v>1383</v>
      </c>
      <c r="K435" t="s">
        <v>139</v>
      </c>
      <c r="L435" s="13">
        <v>44887.363807870373</v>
      </c>
      <c r="M435" s="13">
        <v>44887.363807870373</v>
      </c>
      <c r="N435" s="13">
        <v>44886.598009259258</v>
      </c>
      <c r="O435" t="s">
        <v>1384</v>
      </c>
      <c r="P435" t="s">
        <v>99</v>
      </c>
      <c r="Q435" t="s">
        <v>99</v>
      </c>
      <c r="R435" t="s">
        <v>99</v>
      </c>
      <c r="S435" t="s">
        <v>99</v>
      </c>
      <c r="T435" t="s">
        <v>1385</v>
      </c>
      <c r="U435" t="s">
        <v>1386</v>
      </c>
      <c r="V435" t="s">
        <v>4723</v>
      </c>
      <c r="W435" t="s">
        <v>4496</v>
      </c>
      <c r="X435" t="s">
        <v>1387</v>
      </c>
      <c r="Y435" t="s">
        <v>99</v>
      </c>
      <c r="Z435" t="s">
        <v>99</v>
      </c>
    </row>
    <row r="436" spans="1:26">
      <c r="A436" t="s">
        <v>5541</v>
      </c>
      <c r="B436" t="s">
        <v>222</v>
      </c>
      <c r="C436">
        <v>2014</v>
      </c>
      <c r="D436" t="s">
        <v>1372</v>
      </c>
      <c r="E436" t="s">
        <v>1373</v>
      </c>
      <c r="F436" t="s">
        <v>1374</v>
      </c>
      <c r="G436" t="s">
        <v>1375</v>
      </c>
      <c r="H436" t="s">
        <v>99</v>
      </c>
      <c r="I436" t="s">
        <v>99</v>
      </c>
      <c r="J436" t="s">
        <v>1376</v>
      </c>
      <c r="K436" t="s">
        <v>400</v>
      </c>
      <c r="L436" s="13">
        <v>44887.363807870373</v>
      </c>
      <c r="M436" s="13">
        <v>44887.363807870373</v>
      </c>
      <c r="N436" s="13">
        <v>44886.598009259258</v>
      </c>
      <c r="O436" t="s">
        <v>1377</v>
      </c>
      <c r="P436" t="s">
        <v>99</v>
      </c>
      <c r="Q436" t="s">
        <v>5542</v>
      </c>
      <c r="R436" t="s">
        <v>99</v>
      </c>
      <c r="S436" t="s">
        <v>99</v>
      </c>
      <c r="T436" t="s">
        <v>1226</v>
      </c>
      <c r="U436" t="s">
        <v>1227</v>
      </c>
      <c r="V436" t="s">
        <v>99</v>
      </c>
      <c r="W436" t="s">
        <v>4496</v>
      </c>
      <c r="X436" t="s">
        <v>1378</v>
      </c>
      <c r="Y436" t="s">
        <v>5543</v>
      </c>
      <c r="Z436" t="s">
        <v>4568</v>
      </c>
    </row>
    <row r="437" spans="1:26">
      <c r="A437" t="s">
        <v>5544</v>
      </c>
      <c r="B437" t="s">
        <v>222</v>
      </c>
      <c r="C437">
        <v>2018</v>
      </c>
      <c r="D437" t="s">
        <v>1365</v>
      </c>
      <c r="E437" t="s">
        <v>1366</v>
      </c>
      <c r="F437" t="s">
        <v>1367</v>
      </c>
      <c r="G437" t="s">
        <v>1368</v>
      </c>
      <c r="H437" t="s">
        <v>99</v>
      </c>
      <c r="I437" t="s">
        <v>99</v>
      </c>
      <c r="J437" t="s">
        <v>1369</v>
      </c>
      <c r="K437" t="s">
        <v>384</v>
      </c>
      <c r="L437" s="13">
        <v>44887.363807870373</v>
      </c>
      <c r="M437" s="13">
        <v>44887.363807870373</v>
      </c>
      <c r="N437" s="13">
        <v>44886.597997685189</v>
      </c>
      <c r="O437" t="s">
        <v>1370</v>
      </c>
      <c r="P437" t="s">
        <v>99</v>
      </c>
      <c r="Q437" t="s">
        <v>5545</v>
      </c>
      <c r="R437" t="s">
        <v>99</v>
      </c>
      <c r="S437" t="s">
        <v>5546</v>
      </c>
      <c r="T437" t="s">
        <v>1226</v>
      </c>
      <c r="U437" t="s">
        <v>1227</v>
      </c>
      <c r="V437" t="s">
        <v>99</v>
      </c>
      <c r="W437" t="s">
        <v>4496</v>
      </c>
      <c r="X437" t="s">
        <v>1371</v>
      </c>
      <c r="Y437" t="s">
        <v>5547</v>
      </c>
      <c r="Z437" t="s">
        <v>99</v>
      </c>
    </row>
    <row r="438" spans="1:26">
      <c r="A438" t="s">
        <v>5548</v>
      </c>
      <c r="B438" t="s">
        <v>222</v>
      </c>
      <c r="C438">
        <v>2022</v>
      </c>
      <c r="D438" t="s">
        <v>1356</v>
      </c>
      <c r="E438" t="s">
        <v>1357</v>
      </c>
      <c r="F438" t="s">
        <v>1358</v>
      </c>
      <c r="G438" t="s">
        <v>1359</v>
      </c>
      <c r="H438" t="s">
        <v>99</v>
      </c>
      <c r="I438" t="s">
        <v>99</v>
      </c>
      <c r="J438" t="s">
        <v>1360</v>
      </c>
      <c r="K438" t="s">
        <v>123</v>
      </c>
      <c r="L438" s="13">
        <v>44887.363807870373</v>
      </c>
      <c r="M438" s="13">
        <v>44887.363807870373</v>
      </c>
      <c r="N438" s="13">
        <v>44886.597997685189</v>
      </c>
      <c r="O438" t="s">
        <v>1361</v>
      </c>
      <c r="P438" t="s">
        <v>99</v>
      </c>
      <c r="Q438" t="s">
        <v>5549</v>
      </c>
      <c r="R438" t="s">
        <v>99</v>
      </c>
      <c r="S438" t="s">
        <v>99</v>
      </c>
      <c r="T438" t="s">
        <v>1362</v>
      </c>
      <c r="U438" t="s">
        <v>1363</v>
      </c>
      <c r="V438" t="s">
        <v>4495</v>
      </c>
      <c r="W438" t="s">
        <v>4496</v>
      </c>
      <c r="X438" t="s">
        <v>1364</v>
      </c>
      <c r="Y438" t="s">
        <v>5550</v>
      </c>
      <c r="Z438" t="s">
        <v>99</v>
      </c>
    </row>
    <row r="439" spans="1:26">
      <c r="A439" t="s">
        <v>5551</v>
      </c>
      <c r="B439" t="s">
        <v>222</v>
      </c>
      <c r="C439">
        <v>2010</v>
      </c>
      <c r="D439" t="s">
        <v>1349</v>
      </c>
      <c r="E439" t="s">
        <v>1350</v>
      </c>
      <c r="F439" t="s">
        <v>1351</v>
      </c>
      <c r="G439" t="s">
        <v>1352</v>
      </c>
      <c r="H439" t="s">
        <v>99</v>
      </c>
      <c r="I439" t="s">
        <v>99</v>
      </c>
      <c r="J439" t="s">
        <v>1353</v>
      </c>
      <c r="K439" t="s">
        <v>130</v>
      </c>
      <c r="L439" s="13">
        <v>44887.363807870373</v>
      </c>
      <c r="M439" s="13">
        <v>44887.363807870373</v>
      </c>
      <c r="N439" s="13">
        <v>44886.597986111112</v>
      </c>
      <c r="O439" t="s">
        <v>1354</v>
      </c>
      <c r="P439" t="s">
        <v>99</v>
      </c>
      <c r="Q439" t="s">
        <v>5552</v>
      </c>
      <c r="R439" t="s">
        <v>99</v>
      </c>
      <c r="S439" t="s">
        <v>99</v>
      </c>
      <c r="T439" t="s">
        <v>1218</v>
      </c>
      <c r="U439" t="s">
        <v>133</v>
      </c>
      <c r="V439" t="s">
        <v>4495</v>
      </c>
      <c r="W439" t="s">
        <v>4496</v>
      </c>
      <c r="X439" t="s">
        <v>1355</v>
      </c>
      <c r="Y439" t="s">
        <v>5553</v>
      </c>
      <c r="Z439" t="s">
        <v>99</v>
      </c>
    </row>
    <row r="440" spans="1:26">
      <c r="A440" t="s">
        <v>5554</v>
      </c>
      <c r="B440" t="s">
        <v>222</v>
      </c>
      <c r="C440">
        <v>2020</v>
      </c>
      <c r="D440" t="s">
        <v>1342</v>
      </c>
      <c r="E440" t="s">
        <v>1343</v>
      </c>
      <c r="F440" t="s">
        <v>1344</v>
      </c>
      <c r="G440" t="s">
        <v>1345</v>
      </c>
      <c r="H440" t="s">
        <v>99</v>
      </c>
      <c r="I440" t="s">
        <v>99</v>
      </c>
      <c r="J440" t="s">
        <v>1346</v>
      </c>
      <c r="K440" t="s">
        <v>176</v>
      </c>
      <c r="L440" s="13">
        <v>44887.363807870373</v>
      </c>
      <c r="M440" s="13">
        <v>44887.363807870373</v>
      </c>
      <c r="N440" s="13">
        <v>44886.597986111112</v>
      </c>
      <c r="O440" t="s">
        <v>1347</v>
      </c>
      <c r="P440" t="s">
        <v>99</v>
      </c>
      <c r="Q440" t="s">
        <v>2216</v>
      </c>
      <c r="R440" t="s">
        <v>99</v>
      </c>
      <c r="S440" t="s">
        <v>99</v>
      </c>
      <c r="T440" t="s">
        <v>1226</v>
      </c>
      <c r="U440" t="s">
        <v>1227</v>
      </c>
      <c r="V440" t="s">
        <v>4495</v>
      </c>
      <c r="W440" t="s">
        <v>4496</v>
      </c>
      <c r="X440" t="s">
        <v>1348</v>
      </c>
      <c r="Y440" t="s">
        <v>5555</v>
      </c>
      <c r="Z440" t="s">
        <v>99</v>
      </c>
    </row>
    <row r="441" spans="1:26">
      <c r="A441" t="s">
        <v>5556</v>
      </c>
      <c r="B441" t="s">
        <v>135</v>
      </c>
      <c r="C441">
        <v>2017</v>
      </c>
      <c r="D441" t="s">
        <v>1334</v>
      </c>
      <c r="E441" t="s">
        <v>1335</v>
      </c>
      <c r="F441" t="s">
        <v>1336</v>
      </c>
      <c r="G441" t="s">
        <v>99</v>
      </c>
      <c r="H441" t="s">
        <v>1337</v>
      </c>
      <c r="I441" t="s">
        <v>1338</v>
      </c>
      <c r="J441" t="s">
        <v>1339</v>
      </c>
      <c r="K441" t="s">
        <v>1340</v>
      </c>
      <c r="L441" s="13">
        <v>44887.363807870373</v>
      </c>
      <c r="M441" s="13">
        <v>44887.363807870373</v>
      </c>
      <c r="N441" s="13">
        <v>44886.597986111112</v>
      </c>
      <c r="O441" t="s">
        <v>1341</v>
      </c>
      <c r="P441" t="s">
        <v>500</v>
      </c>
      <c r="Q441" t="s">
        <v>4585</v>
      </c>
      <c r="R441" t="s">
        <v>4636</v>
      </c>
      <c r="S441" t="s">
        <v>99</v>
      </c>
      <c r="T441" t="s">
        <v>99</v>
      </c>
      <c r="U441" t="s">
        <v>99</v>
      </c>
      <c r="V441" t="s">
        <v>4495</v>
      </c>
      <c r="W441" t="s">
        <v>4496</v>
      </c>
      <c r="X441" t="s">
        <v>99</v>
      </c>
      <c r="Y441" t="s">
        <v>99</v>
      </c>
      <c r="Z441" t="s">
        <v>99</v>
      </c>
    </row>
    <row r="442" spans="1:26">
      <c r="A442" t="s">
        <v>5557</v>
      </c>
      <c r="B442" t="s">
        <v>222</v>
      </c>
      <c r="C442">
        <v>2013</v>
      </c>
      <c r="D442" t="s">
        <v>1388</v>
      </c>
      <c r="E442" t="s">
        <v>1389</v>
      </c>
      <c r="F442" t="s">
        <v>1390</v>
      </c>
      <c r="G442" t="s">
        <v>1391</v>
      </c>
      <c r="H442" t="s">
        <v>99</v>
      </c>
      <c r="I442" t="s">
        <v>99</v>
      </c>
      <c r="J442" t="s">
        <v>1392</v>
      </c>
      <c r="K442" t="s">
        <v>139</v>
      </c>
      <c r="L442" s="13">
        <v>44887.363807870373</v>
      </c>
      <c r="M442" s="13">
        <v>44887.363807870373</v>
      </c>
      <c r="N442" s="13">
        <v>44886.598009259258</v>
      </c>
      <c r="O442" t="s">
        <v>1393</v>
      </c>
      <c r="P442" t="s">
        <v>99</v>
      </c>
      <c r="Q442" t="s">
        <v>5558</v>
      </c>
      <c r="R442" t="s">
        <v>99</v>
      </c>
      <c r="S442" t="s">
        <v>99</v>
      </c>
      <c r="T442" t="s">
        <v>1218</v>
      </c>
      <c r="U442" t="s">
        <v>133</v>
      </c>
      <c r="V442" t="s">
        <v>99</v>
      </c>
      <c r="W442" t="s">
        <v>4496</v>
      </c>
      <c r="X442" t="s">
        <v>1394</v>
      </c>
      <c r="Y442" t="s">
        <v>5559</v>
      </c>
      <c r="Z442" t="s">
        <v>4568</v>
      </c>
    </row>
    <row r="443" spans="1:26">
      <c r="A443" t="s">
        <v>5560</v>
      </c>
      <c r="B443" t="s">
        <v>222</v>
      </c>
      <c r="C443">
        <v>2001</v>
      </c>
      <c r="D443" t="s">
        <v>1325</v>
      </c>
      <c r="E443" t="s">
        <v>1326</v>
      </c>
      <c r="F443" t="s">
        <v>1327</v>
      </c>
      <c r="G443" t="s">
        <v>1328</v>
      </c>
      <c r="H443" t="s">
        <v>99</v>
      </c>
      <c r="I443" t="s">
        <v>99</v>
      </c>
      <c r="J443" t="s">
        <v>1329</v>
      </c>
      <c r="K443" t="s">
        <v>755</v>
      </c>
      <c r="L443" s="13">
        <v>44887.363807870373</v>
      </c>
      <c r="M443" s="13">
        <v>44887.363807870373</v>
      </c>
      <c r="N443" s="13">
        <v>44886.597986111112</v>
      </c>
      <c r="O443" t="s">
        <v>1330</v>
      </c>
      <c r="P443" t="s">
        <v>99</v>
      </c>
      <c r="Q443" t="s">
        <v>99</v>
      </c>
      <c r="R443" t="s">
        <v>99</v>
      </c>
      <c r="S443" t="s">
        <v>99</v>
      </c>
      <c r="T443" t="s">
        <v>1331</v>
      </c>
      <c r="U443" t="s">
        <v>1332</v>
      </c>
      <c r="V443" t="s">
        <v>99</v>
      </c>
      <c r="W443" t="s">
        <v>4496</v>
      </c>
      <c r="X443" t="s">
        <v>1333</v>
      </c>
      <c r="Y443" t="s">
        <v>99</v>
      </c>
      <c r="Z443" t="s">
        <v>99</v>
      </c>
    </row>
    <row r="444" spans="1:26">
      <c r="A444" t="s">
        <v>5561</v>
      </c>
      <c r="B444" t="s">
        <v>135</v>
      </c>
      <c r="C444">
        <v>2020</v>
      </c>
      <c r="D444" t="s">
        <v>1291</v>
      </c>
      <c r="E444" t="s">
        <v>1292</v>
      </c>
      <c r="F444" t="s">
        <v>1265</v>
      </c>
      <c r="G444" t="s">
        <v>99</v>
      </c>
      <c r="H444" t="s">
        <v>1266</v>
      </c>
      <c r="I444" t="s">
        <v>1293</v>
      </c>
      <c r="J444" t="s">
        <v>1294</v>
      </c>
      <c r="K444" t="s">
        <v>1295</v>
      </c>
      <c r="L444" s="13">
        <v>44887.363807870373</v>
      </c>
      <c r="M444" s="13">
        <v>44887.363807870373</v>
      </c>
      <c r="N444" s="13">
        <v>44886.597951388889</v>
      </c>
      <c r="O444" t="s">
        <v>1296</v>
      </c>
      <c r="P444" t="s">
        <v>182</v>
      </c>
      <c r="Q444" t="s">
        <v>3584</v>
      </c>
      <c r="R444" t="s">
        <v>4513</v>
      </c>
      <c r="S444" t="s">
        <v>5562</v>
      </c>
      <c r="T444" t="s">
        <v>99</v>
      </c>
      <c r="U444" t="s">
        <v>99</v>
      </c>
      <c r="V444" t="s">
        <v>4495</v>
      </c>
      <c r="W444" t="s">
        <v>4496</v>
      </c>
      <c r="X444" t="s">
        <v>99</v>
      </c>
      <c r="Y444" t="s">
        <v>99</v>
      </c>
      <c r="Z444" t="s">
        <v>99</v>
      </c>
    </row>
    <row r="445" spans="1:26">
      <c r="A445" t="s">
        <v>5563</v>
      </c>
      <c r="B445" t="s">
        <v>222</v>
      </c>
      <c r="C445">
        <v>2011</v>
      </c>
      <c r="D445" t="s">
        <v>1318</v>
      </c>
      <c r="E445" t="s">
        <v>1319</v>
      </c>
      <c r="F445" t="s">
        <v>1320</v>
      </c>
      <c r="G445" t="s">
        <v>1321</v>
      </c>
      <c r="H445" t="s">
        <v>99</v>
      </c>
      <c r="I445" t="s">
        <v>99</v>
      </c>
      <c r="J445" t="s">
        <v>1322</v>
      </c>
      <c r="K445" t="s">
        <v>102</v>
      </c>
      <c r="L445" s="13">
        <v>44887.363807870373</v>
      </c>
      <c r="M445" s="13">
        <v>44887.363807870373</v>
      </c>
      <c r="N445" s="13">
        <v>44886.597986111112</v>
      </c>
      <c r="O445" t="s">
        <v>1323</v>
      </c>
      <c r="P445" t="s">
        <v>99</v>
      </c>
      <c r="Q445" t="s">
        <v>5564</v>
      </c>
      <c r="R445" t="s">
        <v>99</v>
      </c>
      <c r="S445" t="s">
        <v>99</v>
      </c>
      <c r="T445" t="s">
        <v>1218</v>
      </c>
      <c r="U445" t="s">
        <v>133</v>
      </c>
      <c r="V445" t="s">
        <v>99</v>
      </c>
      <c r="W445" t="s">
        <v>4496</v>
      </c>
      <c r="X445" t="s">
        <v>1324</v>
      </c>
      <c r="Y445" t="s">
        <v>5565</v>
      </c>
      <c r="Z445" t="s">
        <v>5172</v>
      </c>
    </row>
    <row r="446" spans="1:26">
      <c r="A446" t="s">
        <v>5566</v>
      </c>
      <c r="B446" t="s">
        <v>135</v>
      </c>
      <c r="C446">
        <v>2008</v>
      </c>
      <c r="D446" t="s">
        <v>1310</v>
      </c>
      <c r="E446" t="s">
        <v>1311</v>
      </c>
      <c r="F446" t="s">
        <v>1312</v>
      </c>
      <c r="G446" t="s">
        <v>99</v>
      </c>
      <c r="H446" t="s">
        <v>1313</v>
      </c>
      <c r="I446" t="s">
        <v>1314</v>
      </c>
      <c r="J446" t="s">
        <v>1315</v>
      </c>
      <c r="K446" t="s">
        <v>1316</v>
      </c>
      <c r="L446" s="13">
        <v>44887.363807870373</v>
      </c>
      <c r="M446" s="13">
        <v>44887.363807870373</v>
      </c>
      <c r="N446" s="13">
        <v>44886.597974537035</v>
      </c>
      <c r="O446" t="s">
        <v>1317</v>
      </c>
      <c r="P446" t="s">
        <v>363</v>
      </c>
      <c r="Q446" t="s">
        <v>5567</v>
      </c>
      <c r="R446" t="s">
        <v>4510</v>
      </c>
      <c r="S446" t="s">
        <v>99</v>
      </c>
      <c r="T446" t="s">
        <v>99</v>
      </c>
      <c r="U446" t="s">
        <v>99</v>
      </c>
      <c r="V446" t="s">
        <v>4495</v>
      </c>
      <c r="W446" t="s">
        <v>4496</v>
      </c>
      <c r="X446" t="s">
        <v>99</v>
      </c>
      <c r="Y446" t="s">
        <v>99</v>
      </c>
      <c r="Z446" t="s">
        <v>99</v>
      </c>
    </row>
    <row r="447" spans="1:26">
      <c r="A447" t="s">
        <v>5568</v>
      </c>
      <c r="B447" t="s">
        <v>222</v>
      </c>
      <c r="C447">
        <v>2022</v>
      </c>
      <c r="D447" t="s">
        <v>1297</v>
      </c>
      <c r="E447" t="s">
        <v>1298</v>
      </c>
      <c r="F447" t="s">
        <v>1299</v>
      </c>
      <c r="G447" t="s">
        <v>1300</v>
      </c>
      <c r="H447" t="s">
        <v>99</v>
      </c>
      <c r="I447" t="s">
        <v>99</v>
      </c>
      <c r="J447" t="s">
        <v>1301</v>
      </c>
      <c r="K447" t="s">
        <v>123</v>
      </c>
      <c r="L447" s="13">
        <v>44887.363807870373</v>
      </c>
      <c r="M447" s="13">
        <v>44887.363807870373</v>
      </c>
      <c r="N447" s="13">
        <v>44886.597974537035</v>
      </c>
      <c r="O447" t="s">
        <v>1302</v>
      </c>
      <c r="P447" t="s">
        <v>99</v>
      </c>
      <c r="Q447" t="s">
        <v>5569</v>
      </c>
      <c r="R447" t="s">
        <v>99</v>
      </c>
      <c r="S447" t="s">
        <v>99</v>
      </c>
      <c r="T447" t="s">
        <v>1226</v>
      </c>
      <c r="U447" t="s">
        <v>1227</v>
      </c>
      <c r="V447" t="s">
        <v>4495</v>
      </c>
      <c r="W447" t="s">
        <v>4496</v>
      </c>
      <c r="X447" t="s">
        <v>1303</v>
      </c>
      <c r="Y447" t="s">
        <v>5570</v>
      </c>
      <c r="Z447" t="s">
        <v>99</v>
      </c>
    </row>
    <row r="448" spans="1:26">
      <c r="A448" t="s">
        <v>5571</v>
      </c>
      <c r="B448" t="s">
        <v>222</v>
      </c>
      <c r="C448">
        <v>2017</v>
      </c>
      <c r="D448" t="s">
        <v>1284</v>
      </c>
      <c r="E448" t="s">
        <v>1285</v>
      </c>
      <c r="F448" t="s">
        <v>1286</v>
      </c>
      <c r="G448" t="s">
        <v>1287</v>
      </c>
      <c r="H448" t="s">
        <v>99</v>
      </c>
      <c r="I448" t="s">
        <v>99</v>
      </c>
      <c r="J448" t="s">
        <v>1288</v>
      </c>
      <c r="K448" t="s">
        <v>156</v>
      </c>
      <c r="L448" s="13">
        <v>44887.363807870373</v>
      </c>
      <c r="M448" s="13">
        <v>44887.363807870373</v>
      </c>
      <c r="N448" s="13">
        <v>44886.597951388889</v>
      </c>
      <c r="O448" t="s">
        <v>1289</v>
      </c>
      <c r="P448" t="s">
        <v>99</v>
      </c>
      <c r="Q448" t="s">
        <v>5572</v>
      </c>
      <c r="R448" t="s">
        <v>99</v>
      </c>
      <c r="S448" t="s">
        <v>99</v>
      </c>
      <c r="T448" t="s">
        <v>1226</v>
      </c>
      <c r="U448" t="s">
        <v>1227</v>
      </c>
      <c r="V448" t="s">
        <v>99</v>
      </c>
      <c r="W448" t="s">
        <v>4496</v>
      </c>
      <c r="X448" t="s">
        <v>1290</v>
      </c>
      <c r="Y448" t="s">
        <v>5573</v>
      </c>
      <c r="Z448" t="s">
        <v>99</v>
      </c>
    </row>
    <row r="449" spans="1:26">
      <c r="A449" t="s">
        <v>5574</v>
      </c>
      <c r="B449" t="s">
        <v>222</v>
      </c>
      <c r="C449">
        <v>2021</v>
      </c>
      <c r="D449" t="s">
        <v>1277</v>
      </c>
      <c r="E449" t="s">
        <v>1278</v>
      </c>
      <c r="F449" t="s">
        <v>1279</v>
      </c>
      <c r="G449" t="s">
        <v>1280</v>
      </c>
      <c r="H449" t="s">
        <v>99</v>
      </c>
      <c r="I449" t="s">
        <v>99</v>
      </c>
      <c r="J449" t="s">
        <v>1281</v>
      </c>
      <c r="K449" t="s">
        <v>113</v>
      </c>
      <c r="L449" s="13">
        <v>44887.363807870373</v>
      </c>
      <c r="M449" s="13">
        <v>44887.363807870373</v>
      </c>
      <c r="N449" s="13">
        <v>44886.597962962966</v>
      </c>
      <c r="O449" t="s">
        <v>1282</v>
      </c>
      <c r="P449" t="s">
        <v>99</v>
      </c>
      <c r="Q449" t="s">
        <v>4662</v>
      </c>
      <c r="R449" t="s">
        <v>99</v>
      </c>
      <c r="S449" t="s">
        <v>5575</v>
      </c>
      <c r="T449" t="s">
        <v>1226</v>
      </c>
      <c r="U449" t="s">
        <v>1227</v>
      </c>
      <c r="V449" t="s">
        <v>4495</v>
      </c>
      <c r="W449" t="s">
        <v>4496</v>
      </c>
      <c r="X449" t="s">
        <v>1283</v>
      </c>
      <c r="Y449" t="s">
        <v>4663</v>
      </c>
      <c r="Z449" t="s">
        <v>99</v>
      </c>
    </row>
    <row r="450" spans="1:26">
      <c r="A450" t="s">
        <v>5576</v>
      </c>
      <c r="B450" t="s">
        <v>222</v>
      </c>
      <c r="C450">
        <v>2005</v>
      </c>
      <c r="D450" t="s">
        <v>1270</v>
      </c>
      <c r="E450" t="s">
        <v>1271</v>
      </c>
      <c r="F450" t="s">
        <v>1272</v>
      </c>
      <c r="G450" t="s">
        <v>1273</v>
      </c>
      <c r="H450" t="s">
        <v>99</v>
      </c>
      <c r="I450" t="s">
        <v>99</v>
      </c>
      <c r="J450" t="s">
        <v>1274</v>
      </c>
      <c r="K450" t="s">
        <v>846</v>
      </c>
      <c r="L450" s="13">
        <v>44887.363807870373</v>
      </c>
      <c r="M450" s="13">
        <v>44887.363807870373</v>
      </c>
      <c r="N450" s="13">
        <v>44886.597962962966</v>
      </c>
      <c r="O450" t="s">
        <v>1275</v>
      </c>
      <c r="P450" t="s">
        <v>99</v>
      </c>
      <c r="Q450" t="s">
        <v>5099</v>
      </c>
      <c r="R450" t="s">
        <v>99</v>
      </c>
      <c r="S450" t="s">
        <v>99</v>
      </c>
      <c r="T450" t="s">
        <v>1218</v>
      </c>
      <c r="U450" t="s">
        <v>133</v>
      </c>
      <c r="V450" t="s">
        <v>99</v>
      </c>
      <c r="W450" t="s">
        <v>4496</v>
      </c>
      <c r="X450" t="s">
        <v>1276</v>
      </c>
      <c r="Y450" t="s">
        <v>5100</v>
      </c>
      <c r="Z450" t="s">
        <v>4556</v>
      </c>
    </row>
    <row r="451" spans="1:26">
      <c r="A451" t="s">
        <v>5577</v>
      </c>
      <c r="B451" t="s">
        <v>135</v>
      </c>
      <c r="C451">
        <v>2021</v>
      </c>
      <c r="D451" t="s">
        <v>1263</v>
      </c>
      <c r="E451" t="s">
        <v>1264</v>
      </c>
      <c r="F451" t="s">
        <v>1265</v>
      </c>
      <c r="G451" t="s">
        <v>99</v>
      </c>
      <c r="H451" t="s">
        <v>1266</v>
      </c>
      <c r="I451" t="s">
        <v>1267</v>
      </c>
      <c r="J451" t="s">
        <v>1268</v>
      </c>
      <c r="K451" t="s">
        <v>478</v>
      </c>
      <c r="L451" s="13">
        <v>44887.363807870373</v>
      </c>
      <c r="M451" s="13">
        <v>44887.363807870373</v>
      </c>
      <c r="N451" s="13">
        <v>44886.597962962966</v>
      </c>
      <c r="O451" t="s">
        <v>1269</v>
      </c>
      <c r="P451" t="s">
        <v>557</v>
      </c>
      <c r="Q451" t="s">
        <v>5361</v>
      </c>
      <c r="R451" t="s">
        <v>4513</v>
      </c>
      <c r="S451" t="s">
        <v>99</v>
      </c>
      <c r="T451" t="s">
        <v>99</v>
      </c>
      <c r="U451" t="s">
        <v>99</v>
      </c>
      <c r="V451" t="s">
        <v>4495</v>
      </c>
      <c r="W451" t="s">
        <v>4496</v>
      </c>
      <c r="X451" t="s">
        <v>99</v>
      </c>
      <c r="Y451" t="s">
        <v>99</v>
      </c>
      <c r="Z451" t="s">
        <v>99</v>
      </c>
    </row>
    <row r="452" spans="1:26">
      <c r="A452" t="s">
        <v>5578</v>
      </c>
      <c r="B452" t="s">
        <v>222</v>
      </c>
      <c r="C452">
        <v>2014</v>
      </c>
      <c r="D452" t="s">
        <v>1256</v>
      </c>
      <c r="E452" t="s">
        <v>1257</v>
      </c>
      <c r="F452" t="s">
        <v>1258</v>
      </c>
      <c r="G452" t="s">
        <v>1259</v>
      </c>
      <c r="H452" t="s">
        <v>99</v>
      </c>
      <c r="I452" t="s">
        <v>99</v>
      </c>
      <c r="J452" t="s">
        <v>1260</v>
      </c>
      <c r="K452" t="s">
        <v>400</v>
      </c>
      <c r="L452" s="13">
        <v>44887.363807870373</v>
      </c>
      <c r="M452" s="13">
        <v>44887.363807870373</v>
      </c>
      <c r="N452" s="13">
        <v>44886.597962962966</v>
      </c>
      <c r="O452" t="s">
        <v>1261</v>
      </c>
      <c r="P452" t="s">
        <v>99</v>
      </c>
      <c r="Q452" t="s">
        <v>5579</v>
      </c>
      <c r="R452" t="s">
        <v>99</v>
      </c>
      <c r="S452" t="s">
        <v>99</v>
      </c>
      <c r="T452" t="s">
        <v>1226</v>
      </c>
      <c r="U452" t="s">
        <v>1227</v>
      </c>
      <c r="V452" t="s">
        <v>99</v>
      </c>
      <c r="W452" t="s">
        <v>4496</v>
      </c>
      <c r="X452" t="s">
        <v>1262</v>
      </c>
      <c r="Y452" t="s">
        <v>5580</v>
      </c>
      <c r="Z452" t="s">
        <v>99</v>
      </c>
    </row>
    <row r="453" spans="1:26">
      <c r="A453" t="s">
        <v>5581</v>
      </c>
      <c r="B453" t="s">
        <v>222</v>
      </c>
      <c r="C453">
        <v>2009</v>
      </c>
      <c r="D453" t="s">
        <v>1249</v>
      </c>
      <c r="E453" t="s">
        <v>1250</v>
      </c>
      <c r="F453" t="s">
        <v>1251</v>
      </c>
      <c r="G453" t="s">
        <v>1252</v>
      </c>
      <c r="H453" t="s">
        <v>99</v>
      </c>
      <c r="I453" t="s">
        <v>99</v>
      </c>
      <c r="J453" t="s">
        <v>1253</v>
      </c>
      <c r="K453" t="s">
        <v>615</v>
      </c>
      <c r="L453" s="13">
        <v>44887.363807870373</v>
      </c>
      <c r="M453" s="13">
        <v>44887.363807870373</v>
      </c>
      <c r="N453" s="13">
        <v>44886.597962962966</v>
      </c>
      <c r="O453" t="s">
        <v>1254</v>
      </c>
      <c r="P453" t="s">
        <v>99</v>
      </c>
      <c r="Q453" t="s">
        <v>5278</v>
      </c>
      <c r="R453" t="s">
        <v>99</v>
      </c>
      <c r="S453" t="s">
        <v>99</v>
      </c>
      <c r="T453" t="s">
        <v>1218</v>
      </c>
      <c r="U453" t="s">
        <v>133</v>
      </c>
      <c r="V453" t="s">
        <v>99</v>
      </c>
      <c r="W453" t="s">
        <v>4496</v>
      </c>
      <c r="X453" t="s">
        <v>1255</v>
      </c>
      <c r="Y453" t="s">
        <v>5582</v>
      </c>
      <c r="Z453" t="s">
        <v>99</v>
      </c>
    </row>
    <row r="454" spans="1:26">
      <c r="A454" t="s">
        <v>5583</v>
      </c>
      <c r="B454" t="s">
        <v>222</v>
      </c>
      <c r="C454">
        <v>2016</v>
      </c>
      <c r="D454" t="s">
        <v>1242</v>
      </c>
      <c r="E454" t="s">
        <v>1243</v>
      </c>
      <c r="F454" t="s">
        <v>1244</v>
      </c>
      <c r="G454" t="s">
        <v>1245</v>
      </c>
      <c r="H454" t="s">
        <v>99</v>
      </c>
      <c r="I454" t="s">
        <v>99</v>
      </c>
      <c r="J454" t="s">
        <v>1246</v>
      </c>
      <c r="K454" t="s">
        <v>331</v>
      </c>
      <c r="L454" s="13">
        <v>44887.363807870373</v>
      </c>
      <c r="M454" s="13">
        <v>44887.363807870373</v>
      </c>
      <c r="N454" s="13">
        <v>44886.597951388889</v>
      </c>
      <c r="O454" t="s">
        <v>1247</v>
      </c>
      <c r="P454" t="s">
        <v>99</v>
      </c>
      <c r="Q454" t="s">
        <v>5225</v>
      </c>
      <c r="R454" t="s">
        <v>99</v>
      </c>
      <c r="S454" t="s">
        <v>99</v>
      </c>
      <c r="T454" t="s">
        <v>1226</v>
      </c>
      <c r="U454" t="s">
        <v>1227</v>
      </c>
      <c r="V454" t="s">
        <v>99</v>
      </c>
      <c r="W454" t="s">
        <v>4496</v>
      </c>
      <c r="X454" t="s">
        <v>1248</v>
      </c>
      <c r="Y454" t="s">
        <v>5226</v>
      </c>
      <c r="Z454" t="s">
        <v>99</v>
      </c>
    </row>
    <row r="455" spans="1:26">
      <c r="A455" t="s">
        <v>5584</v>
      </c>
      <c r="B455" t="s">
        <v>222</v>
      </c>
      <c r="C455">
        <v>2009</v>
      </c>
      <c r="D455" t="s">
        <v>1235</v>
      </c>
      <c r="E455" t="s">
        <v>1236</v>
      </c>
      <c r="F455" t="s">
        <v>1237</v>
      </c>
      <c r="G455" t="s">
        <v>1238</v>
      </c>
      <c r="H455" t="s">
        <v>99</v>
      </c>
      <c r="I455" t="s">
        <v>99</v>
      </c>
      <c r="J455" t="s">
        <v>1239</v>
      </c>
      <c r="K455" t="s">
        <v>615</v>
      </c>
      <c r="L455" s="13">
        <v>44887.363807870373</v>
      </c>
      <c r="M455" s="13">
        <v>44887.363807870373</v>
      </c>
      <c r="N455" s="13">
        <v>44886.597951388889</v>
      </c>
      <c r="O455" t="s">
        <v>1240</v>
      </c>
      <c r="P455" t="s">
        <v>99</v>
      </c>
      <c r="Q455" t="s">
        <v>5585</v>
      </c>
      <c r="R455" t="s">
        <v>99</v>
      </c>
      <c r="S455" t="s">
        <v>5586</v>
      </c>
      <c r="T455" t="s">
        <v>1218</v>
      </c>
      <c r="U455" t="s">
        <v>133</v>
      </c>
      <c r="V455" t="s">
        <v>99</v>
      </c>
      <c r="W455" t="s">
        <v>4496</v>
      </c>
      <c r="X455" t="s">
        <v>1241</v>
      </c>
      <c r="Y455" t="s">
        <v>5587</v>
      </c>
      <c r="Z455" t="s">
        <v>4568</v>
      </c>
    </row>
    <row r="456" spans="1:26">
      <c r="A456" t="s">
        <v>5588</v>
      </c>
      <c r="B456" t="s">
        <v>222</v>
      </c>
      <c r="C456">
        <v>2009</v>
      </c>
      <c r="D456" t="s">
        <v>1212</v>
      </c>
      <c r="E456" t="s">
        <v>1213</v>
      </c>
      <c r="F456" t="s">
        <v>1214</v>
      </c>
      <c r="G456" t="s">
        <v>1215</v>
      </c>
      <c r="H456" t="s">
        <v>99</v>
      </c>
      <c r="I456" t="s">
        <v>99</v>
      </c>
      <c r="J456" t="s">
        <v>1216</v>
      </c>
      <c r="K456" t="s">
        <v>615</v>
      </c>
      <c r="L456" s="13">
        <v>44887.363807870373</v>
      </c>
      <c r="M456" s="13">
        <v>44887.363807870373</v>
      </c>
      <c r="N456" s="13">
        <v>44886.597951388889</v>
      </c>
      <c r="O456" t="s">
        <v>1217</v>
      </c>
      <c r="P456" t="s">
        <v>99</v>
      </c>
      <c r="Q456" t="s">
        <v>5589</v>
      </c>
      <c r="R456" t="s">
        <v>99</v>
      </c>
      <c r="S456" t="s">
        <v>99</v>
      </c>
      <c r="T456" t="s">
        <v>1218</v>
      </c>
      <c r="U456" t="s">
        <v>133</v>
      </c>
      <c r="V456" t="s">
        <v>4495</v>
      </c>
      <c r="W456" t="s">
        <v>4496</v>
      </c>
      <c r="X456" t="s">
        <v>1219</v>
      </c>
      <c r="Y456" t="s">
        <v>5513</v>
      </c>
      <c r="Z456" t="s">
        <v>99</v>
      </c>
    </row>
    <row r="457" spans="1:26">
      <c r="A457" t="s">
        <v>5590</v>
      </c>
      <c r="B457" t="s">
        <v>135</v>
      </c>
      <c r="C457">
        <v>2016</v>
      </c>
      <c r="D457" t="s">
        <v>1207</v>
      </c>
      <c r="E457" t="s">
        <v>1208</v>
      </c>
      <c r="F457" t="s">
        <v>1209</v>
      </c>
      <c r="G457" t="s">
        <v>99</v>
      </c>
      <c r="H457" t="s">
        <v>99</v>
      </c>
      <c r="I457" t="s">
        <v>1210</v>
      </c>
      <c r="J457" t="s">
        <v>99</v>
      </c>
      <c r="K457" t="s">
        <v>331</v>
      </c>
      <c r="L457" s="13">
        <v>44887.363807870373</v>
      </c>
      <c r="M457" s="13">
        <v>44887.363807870373</v>
      </c>
      <c r="N457" s="13"/>
      <c r="O457" t="s">
        <v>1211</v>
      </c>
      <c r="P457" t="s">
        <v>870</v>
      </c>
      <c r="Q457" t="s">
        <v>5591</v>
      </c>
      <c r="R457" t="s">
        <v>99</v>
      </c>
      <c r="S457" t="s">
        <v>99</v>
      </c>
      <c r="T457" t="s">
        <v>99</v>
      </c>
      <c r="U457" t="s">
        <v>99</v>
      </c>
      <c r="V457" t="s">
        <v>99</v>
      </c>
      <c r="W457" t="s">
        <v>99</v>
      </c>
      <c r="X457" t="s">
        <v>99</v>
      </c>
      <c r="Y457" t="s">
        <v>99</v>
      </c>
      <c r="Z457" t="s">
        <v>99</v>
      </c>
    </row>
    <row r="458" spans="1:26">
      <c r="A458" t="s">
        <v>5592</v>
      </c>
      <c r="B458" t="s">
        <v>94</v>
      </c>
      <c r="C458">
        <v>2015</v>
      </c>
      <c r="D458" t="s">
        <v>1202</v>
      </c>
      <c r="E458" t="s">
        <v>1203</v>
      </c>
      <c r="F458" t="s">
        <v>1204</v>
      </c>
      <c r="G458" t="s">
        <v>99</v>
      </c>
      <c r="H458" t="s">
        <v>99</v>
      </c>
      <c r="I458" t="s">
        <v>1205</v>
      </c>
      <c r="J458" t="s">
        <v>99</v>
      </c>
      <c r="K458" t="s">
        <v>564</v>
      </c>
      <c r="L458" s="13">
        <v>44887.363807870373</v>
      </c>
      <c r="M458" s="13">
        <v>44887.363807870373</v>
      </c>
      <c r="N458" s="13"/>
      <c r="O458" t="s">
        <v>1206</v>
      </c>
      <c r="P458" t="s">
        <v>99</v>
      </c>
      <c r="Q458" t="s">
        <v>99</v>
      </c>
      <c r="R458" t="s">
        <v>99</v>
      </c>
      <c r="S458" t="s">
        <v>99</v>
      </c>
      <c r="T458" t="s">
        <v>99</v>
      </c>
      <c r="U458" t="s">
        <v>99</v>
      </c>
      <c r="V458" t="s">
        <v>99</v>
      </c>
      <c r="W458" t="s">
        <v>99</v>
      </c>
      <c r="X458" t="s">
        <v>99</v>
      </c>
      <c r="Y458" t="s">
        <v>99</v>
      </c>
      <c r="Z458" t="s">
        <v>99</v>
      </c>
    </row>
    <row r="459" spans="1:26">
      <c r="A459" t="s">
        <v>5593</v>
      </c>
      <c r="B459" t="s">
        <v>94</v>
      </c>
      <c r="C459">
        <v>2016</v>
      </c>
      <c r="D459" t="s">
        <v>1198</v>
      </c>
      <c r="E459" t="s">
        <v>1199</v>
      </c>
      <c r="F459" t="s">
        <v>1200</v>
      </c>
      <c r="G459" t="s">
        <v>99</v>
      </c>
      <c r="H459" t="s">
        <v>99</v>
      </c>
      <c r="I459" t="s">
        <v>1201</v>
      </c>
      <c r="J459" t="s">
        <v>99</v>
      </c>
      <c r="K459" t="s">
        <v>331</v>
      </c>
      <c r="L459" s="13">
        <v>44887.363807870373</v>
      </c>
      <c r="M459" s="13">
        <v>44887.363807870373</v>
      </c>
      <c r="N459" s="13"/>
      <c r="O459" t="s">
        <v>998</v>
      </c>
      <c r="P459" t="s">
        <v>99</v>
      </c>
      <c r="Q459" t="s">
        <v>99</v>
      </c>
      <c r="R459" t="s">
        <v>99</v>
      </c>
      <c r="S459" t="s">
        <v>99</v>
      </c>
      <c r="T459" t="s">
        <v>99</v>
      </c>
      <c r="U459" t="s">
        <v>99</v>
      </c>
      <c r="V459" t="s">
        <v>99</v>
      </c>
      <c r="W459" t="s">
        <v>99</v>
      </c>
      <c r="X459" t="s">
        <v>99</v>
      </c>
      <c r="Y459" t="s">
        <v>99</v>
      </c>
      <c r="Z459" t="s">
        <v>99</v>
      </c>
    </row>
    <row r="460" spans="1:26">
      <c r="A460" t="s">
        <v>5594</v>
      </c>
      <c r="B460" t="s">
        <v>135</v>
      </c>
      <c r="C460">
        <v>2019</v>
      </c>
      <c r="D460" t="s">
        <v>1190</v>
      </c>
      <c r="E460" t="s">
        <v>1191</v>
      </c>
      <c r="F460" t="s">
        <v>675</v>
      </c>
      <c r="G460" t="s">
        <v>99</v>
      </c>
      <c r="H460" t="s">
        <v>99</v>
      </c>
      <c r="I460" t="s">
        <v>1192</v>
      </c>
      <c r="J460" t="s">
        <v>99</v>
      </c>
      <c r="K460" t="s">
        <v>271</v>
      </c>
      <c r="L460" s="13">
        <v>44887.363807870373</v>
      </c>
      <c r="M460" s="13">
        <v>44887.363807870373</v>
      </c>
      <c r="N460" s="13"/>
      <c r="O460" t="s">
        <v>1193</v>
      </c>
      <c r="P460" t="s">
        <v>99</v>
      </c>
      <c r="Q460" t="s">
        <v>2216</v>
      </c>
      <c r="R460" t="s">
        <v>99</v>
      </c>
      <c r="S460" t="s">
        <v>99</v>
      </c>
      <c r="T460" t="s">
        <v>99</v>
      </c>
      <c r="U460" t="s">
        <v>99</v>
      </c>
      <c r="V460" t="s">
        <v>99</v>
      </c>
      <c r="W460" t="s">
        <v>99</v>
      </c>
      <c r="X460" t="s">
        <v>99</v>
      </c>
      <c r="Y460" t="s">
        <v>99</v>
      </c>
      <c r="Z460" t="s">
        <v>99</v>
      </c>
    </row>
    <row r="461" spans="1:26">
      <c r="A461" t="s">
        <v>5595</v>
      </c>
      <c r="B461" t="s">
        <v>222</v>
      </c>
      <c r="C461">
        <v>2018</v>
      </c>
      <c r="D461" t="s">
        <v>1220</v>
      </c>
      <c r="E461" t="s">
        <v>1221</v>
      </c>
      <c r="F461" t="s">
        <v>1222</v>
      </c>
      <c r="G461" t="s">
        <v>1223</v>
      </c>
      <c r="H461" t="s">
        <v>99</v>
      </c>
      <c r="I461" t="s">
        <v>99</v>
      </c>
      <c r="J461" t="s">
        <v>1224</v>
      </c>
      <c r="K461" t="s">
        <v>384</v>
      </c>
      <c r="L461" s="13">
        <v>44887.363807870373</v>
      </c>
      <c r="M461" s="13">
        <v>44887.363807870373</v>
      </c>
      <c r="N461" s="13">
        <v>44886.597951388889</v>
      </c>
      <c r="O461" t="s">
        <v>1225</v>
      </c>
      <c r="P461" t="s">
        <v>99</v>
      </c>
      <c r="Q461" t="s">
        <v>5596</v>
      </c>
      <c r="R461" t="s">
        <v>99</v>
      </c>
      <c r="S461" t="s">
        <v>99</v>
      </c>
      <c r="T461" t="s">
        <v>1226</v>
      </c>
      <c r="U461" t="s">
        <v>1227</v>
      </c>
      <c r="V461" t="s">
        <v>99</v>
      </c>
      <c r="W461" t="s">
        <v>4496</v>
      </c>
      <c r="X461" t="s">
        <v>1228</v>
      </c>
      <c r="Y461" t="s">
        <v>5597</v>
      </c>
      <c r="Z461" t="s">
        <v>99</v>
      </c>
    </row>
    <row r="462" spans="1:26">
      <c r="A462" t="s">
        <v>5598</v>
      </c>
      <c r="B462" t="s">
        <v>94</v>
      </c>
      <c r="C462">
        <v>2021</v>
      </c>
      <c r="D462" t="s">
        <v>1194</v>
      </c>
      <c r="E462" t="s">
        <v>1195</v>
      </c>
      <c r="F462" t="s">
        <v>644</v>
      </c>
      <c r="G462" t="s">
        <v>99</v>
      </c>
      <c r="H462" t="s">
        <v>99</v>
      </c>
      <c r="I462" t="s">
        <v>1196</v>
      </c>
      <c r="J462" t="s">
        <v>99</v>
      </c>
      <c r="K462" t="s">
        <v>113</v>
      </c>
      <c r="L462" s="13">
        <v>44887.363807870373</v>
      </c>
      <c r="M462" s="13">
        <v>44887.363807870373</v>
      </c>
      <c r="N462" s="13"/>
      <c r="O462" t="s">
        <v>1197</v>
      </c>
      <c r="P462" t="s">
        <v>99</v>
      </c>
      <c r="Q462" t="s">
        <v>99</v>
      </c>
      <c r="R462" t="s">
        <v>99</v>
      </c>
      <c r="S462" t="s">
        <v>99</v>
      </c>
      <c r="T462" t="s">
        <v>99</v>
      </c>
      <c r="U462" t="s">
        <v>99</v>
      </c>
      <c r="V462" t="s">
        <v>99</v>
      </c>
      <c r="W462" t="s">
        <v>99</v>
      </c>
      <c r="X462" t="s">
        <v>99</v>
      </c>
      <c r="Y462" t="s">
        <v>99</v>
      </c>
      <c r="Z462" t="s">
        <v>99</v>
      </c>
    </row>
    <row r="463" spans="1:26">
      <c r="A463" t="s">
        <v>5599</v>
      </c>
      <c r="B463" t="s">
        <v>94</v>
      </c>
      <c r="C463">
        <v>2017</v>
      </c>
      <c r="D463" t="s">
        <v>1186</v>
      </c>
      <c r="E463" t="s">
        <v>1187</v>
      </c>
      <c r="F463" t="s">
        <v>1188</v>
      </c>
      <c r="G463" t="s">
        <v>99</v>
      </c>
      <c r="H463" t="s">
        <v>99</v>
      </c>
      <c r="I463" t="s">
        <v>1189</v>
      </c>
      <c r="J463" t="s">
        <v>99</v>
      </c>
      <c r="K463" t="s">
        <v>156</v>
      </c>
      <c r="L463" s="13">
        <v>44887.363807870373</v>
      </c>
      <c r="M463" s="13">
        <v>44887.363807870373</v>
      </c>
      <c r="N463" s="13"/>
      <c r="O463" t="s">
        <v>682</v>
      </c>
      <c r="P463" t="s">
        <v>99</v>
      </c>
      <c r="Q463" t="s">
        <v>99</v>
      </c>
      <c r="R463" t="s">
        <v>99</v>
      </c>
      <c r="S463" t="s">
        <v>99</v>
      </c>
      <c r="T463" t="s">
        <v>99</v>
      </c>
      <c r="U463" t="s">
        <v>99</v>
      </c>
      <c r="V463" t="s">
        <v>99</v>
      </c>
      <c r="W463" t="s">
        <v>99</v>
      </c>
      <c r="X463" t="s">
        <v>99</v>
      </c>
      <c r="Y463" t="s">
        <v>99</v>
      </c>
      <c r="Z463" t="s">
        <v>99</v>
      </c>
    </row>
    <row r="464" spans="1:26">
      <c r="A464" t="s">
        <v>5600</v>
      </c>
      <c r="B464" t="s">
        <v>94</v>
      </c>
      <c r="C464">
        <v>2004</v>
      </c>
      <c r="D464" t="s">
        <v>1176</v>
      </c>
      <c r="E464" t="s">
        <v>1177</v>
      </c>
      <c r="F464" t="s">
        <v>1178</v>
      </c>
      <c r="G464" t="s">
        <v>99</v>
      </c>
      <c r="H464" t="s">
        <v>99</v>
      </c>
      <c r="I464" t="s">
        <v>1179</v>
      </c>
      <c r="J464" t="s">
        <v>99</v>
      </c>
      <c r="K464" t="s">
        <v>1180</v>
      </c>
      <c r="L464" s="13">
        <v>44887.363807870373</v>
      </c>
      <c r="M464" s="13">
        <v>44887.363807870373</v>
      </c>
      <c r="N464" s="13"/>
      <c r="O464" t="s">
        <v>1181</v>
      </c>
      <c r="P464" t="s">
        <v>99</v>
      </c>
      <c r="Q464" t="s">
        <v>99</v>
      </c>
      <c r="R464" t="s">
        <v>99</v>
      </c>
      <c r="S464" t="s">
        <v>99</v>
      </c>
      <c r="T464" t="s">
        <v>99</v>
      </c>
      <c r="U464" t="s">
        <v>99</v>
      </c>
      <c r="V464" t="s">
        <v>99</v>
      </c>
      <c r="W464" t="s">
        <v>99</v>
      </c>
      <c r="X464" t="s">
        <v>99</v>
      </c>
      <c r="Y464" t="s">
        <v>99</v>
      </c>
      <c r="Z464" t="s">
        <v>99</v>
      </c>
    </row>
    <row r="465" spans="1:26">
      <c r="A465" t="s">
        <v>5601</v>
      </c>
      <c r="B465" t="s">
        <v>94</v>
      </c>
      <c r="C465">
        <v>2013</v>
      </c>
      <c r="D465" t="s">
        <v>99</v>
      </c>
      <c r="E465" t="s">
        <v>1160</v>
      </c>
      <c r="F465" t="s">
        <v>1161</v>
      </c>
      <c r="G465" t="s">
        <v>99</v>
      </c>
      <c r="H465" t="s">
        <v>99</v>
      </c>
      <c r="I465" t="s">
        <v>1162</v>
      </c>
      <c r="J465" t="s">
        <v>99</v>
      </c>
      <c r="K465" t="s">
        <v>139</v>
      </c>
      <c r="L465" s="13">
        <v>44887.363807870373</v>
      </c>
      <c r="M465" s="13">
        <v>44887.363807870373</v>
      </c>
      <c r="N465" s="13"/>
      <c r="O465" t="s">
        <v>1073</v>
      </c>
      <c r="P465" t="s">
        <v>99</v>
      </c>
      <c r="Q465" t="s">
        <v>99</v>
      </c>
      <c r="R465" t="s">
        <v>99</v>
      </c>
      <c r="S465" t="s">
        <v>99</v>
      </c>
      <c r="T465" t="s">
        <v>99</v>
      </c>
      <c r="U465" t="s">
        <v>99</v>
      </c>
      <c r="V465" t="s">
        <v>99</v>
      </c>
      <c r="W465" t="s">
        <v>99</v>
      </c>
      <c r="X465" t="s">
        <v>99</v>
      </c>
      <c r="Y465" t="s">
        <v>99</v>
      </c>
      <c r="Z465" t="s">
        <v>99</v>
      </c>
    </row>
    <row r="466" spans="1:26">
      <c r="A466" t="s">
        <v>5602</v>
      </c>
      <c r="B466" t="s">
        <v>94</v>
      </c>
      <c r="C466">
        <v>2007</v>
      </c>
      <c r="D466" t="s">
        <v>1150</v>
      </c>
      <c r="E466" t="s">
        <v>1151</v>
      </c>
      <c r="F466" t="s">
        <v>1152</v>
      </c>
      <c r="G466" t="s">
        <v>99</v>
      </c>
      <c r="H466" t="s">
        <v>99</v>
      </c>
      <c r="I466" t="s">
        <v>1153</v>
      </c>
      <c r="J466" t="s">
        <v>99</v>
      </c>
      <c r="K466" t="s">
        <v>666</v>
      </c>
      <c r="L466" s="13">
        <v>44887.363807870373</v>
      </c>
      <c r="M466" s="13">
        <v>44887.363807870373</v>
      </c>
      <c r="N466" s="13"/>
      <c r="O466" t="s">
        <v>1154</v>
      </c>
      <c r="P466" t="s">
        <v>99</v>
      </c>
      <c r="Q466" t="s">
        <v>99</v>
      </c>
      <c r="R466" t="s">
        <v>99</v>
      </c>
      <c r="S466" t="s">
        <v>99</v>
      </c>
      <c r="T466" t="s">
        <v>99</v>
      </c>
      <c r="U466" t="s">
        <v>99</v>
      </c>
      <c r="V466" t="s">
        <v>99</v>
      </c>
      <c r="W466" t="s">
        <v>99</v>
      </c>
      <c r="X466" t="s">
        <v>99</v>
      </c>
      <c r="Y466" t="s">
        <v>99</v>
      </c>
      <c r="Z466" t="s">
        <v>99</v>
      </c>
    </row>
    <row r="467" spans="1:26">
      <c r="A467" t="s">
        <v>5603</v>
      </c>
      <c r="B467" t="s">
        <v>706</v>
      </c>
      <c r="C467">
        <v>2021</v>
      </c>
      <c r="D467" t="s">
        <v>707</v>
      </c>
      <c r="E467" t="s">
        <v>99</v>
      </c>
      <c r="F467" t="s">
        <v>99</v>
      </c>
      <c r="G467" t="s">
        <v>99</v>
      </c>
      <c r="H467" t="s">
        <v>99</v>
      </c>
      <c r="I467" t="s">
        <v>99</v>
      </c>
      <c r="J467" t="s">
        <v>99</v>
      </c>
      <c r="K467" t="s">
        <v>113</v>
      </c>
      <c r="L467" s="13">
        <v>44887.363807870373</v>
      </c>
      <c r="M467" s="13">
        <v>44887.363807870373</v>
      </c>
      <c r="N467" s="13"/>
      <c r="O467" t="s">
        <v>99</v>
      </c>
      <c r="P467" t="s">
        <v>99</v>
      </c>
      <c r="Q467" t="s">
        <v>99</v>
      </c>
      <c r="R467" t="s">
        <v>99</v>
      </c>
      <c r="S467" t="s">
        <v>99</v>
      </c>
      <c r="T467" t="s">
        <v>99</v>
      </c>
      <c r="U467" t="s">
        <v>99</v>
      </c>
      <c r="V467" t="s">
        <v>99</v>
      </c>
      <c r="W467" t="s">
        <v>99</v>
      </c>
      <c r="X467" t="s">
        <v>708</v>
      </c>
      <c r="Y467" t="s">
        <v>99</v>
      </c>
      <c r="Z467" t="s">
        <v>99</v>
      </c>
    </row>
    <row r="468" spans="1:26">
      <c r="A468" t="s">
        <v>5604</v>
      </c>
      <c r="B468" t="s">
        <v>94</v>
      </c>
      <c r="C468">
        <v>2020</v>
      </c>
      <c r="D468" t="s">
        <v>1136</v>
      </c>
      <c r="E468" t="s">
        <v>1137</v>
      </c>
      <c r="F468" t="s">
        <v>1138</v>
      </c>
      <c r="G468" t="s">
        <v>99</v>
      </c>
      <c r="H468" t="s">
        <v>99</v>
      </c>
      <c r="I468" t="s">
        <v>1139</v>
      </c>
      <c r="J468" t="s">
        <v>99</v>
      </c>
      <c r="K468" t="s">
        <v>176</v>
      </c>
      <c r="L468" s="13">
        <v>44887.363807870373</v>
      </c>
      <c r="M468" s="13">
        <v>44887.363807870373</v>
      </c>
      <c r="N468" s="13"/>
      <c r="O468" t="s">
        <v>1140</v>
      </c>
      <c r="P468" t="s">
        <v>99</v>
      </c>
      <c r="Q468" t="s">
        <v>99</v>
      </c>
      <c r="R468" t="s">
        <v>99</v>
      </c>
      <c r="S468" t="s">
        <v>99</v>
      </c>
      <c r="T468" t="s">
        <v>99</v>
      </c>
      <c r="U468" t="s">
        <v>99</v>
      </c>
      <c r="V468" t="s">
        <v>99</v>
      </c>
      <c r="W468" t="s">
        <v>99</v>
      </c>
      <c r="X468" t="s">
        <v>99</v>
      </c>
      <c r="Y468" t="s">
        <v>99</v>
      </c>
      <c r="Z468" t="s">
        <v>99</v>
      </c>
    </row>
    <row r="469" spans="1:26">
      <c r="A469" t="s">
        <v>5605</v>
      </c>
      <c r="B469" t="s">
        <v>94</v>
      </c>
      <c r="C469">
        <v>2016</v>
      </c>
      <c r="D469" t="s">
        <v>1182</v>
      </c>
      <c r="E469" t="s">
        <v>1183</v>
      </c>
      <c r="F469" t="s">
        <v>1184</v>
      </c>
      <c r="G469" t="s">
        <v>99</v>
      </c>
      <c r="H469" t="s">
        <v>99</v>
      </c>
      <c r="I469" t="s">
        <v>1185</v>
      </c>
      <c r="J469" t="s">
        <v>99</v>
      </c>
      <c r="K469" t="s">
        <v>331</v>
      </c>
      <c r="L469" s="13">
        <v>44887.363807870373</v>
      </c>
      <c r="M469" s="13">
        <v>44887.363807870373</v>
      </c>
      <c r="N469" s="13"/>
      <c r="O469" t="s">
        <v>682</v>
      </c>
      <c r="P469" t="s">
        <v>99</v>
      </c>
      <c r="Q469" t="s">
        <v>99</v>
      </c>
      <c r="R469" t="s">
        <v>99</v>
      </c>
      <c r="S469" t="s">
        <v>99</v>
      </c>
      <c r="T469" t="s">
        <v>99</v>
      </c>
      <c r="U469" t="s">
        <v>99</v>
      </c>
      <c r="V469" t="s">
        <v>99</v>
      </c>
      <c r="W469" t="s">
        <v>99</v>
      </c>
      <c r="X469" t="s">
        <v>99</v>
      </c>
      <c r="Y469" t="s">
        <v>99</v>
      </c>
      <c r="Z469" t="s">
        <v>99</v>
      </c>
    </row>
    <row r="470" spans="1:26">
      <c r="A470" t="s">
        <v>5606</v>
      </c>
      <c r="B470" t="s">
        <v>94</v>
      </c>
      <c r="C470">
        <v>2007</v>
      </c>
      <c r="D470" t="s">
        <v>1168</v>
      </c>
      <c r="E470" t="s">
        <v>1169</v>
      </c>
      <c r="F470" t="s">
        <v>1170</v>
      </c>
      <c r="G470" t="s">
        <v>99</v>
      </c>
      <c r="H470" t="s">
        <v>99</v>
      </c>
      <c r="I470" t="s">
        <v>1171</v>
      </c>
      <c r="J470" t="s">
        <v>99</v>
      </c>
      <c r="K470" t="s">
        <v>666</v>
      </c>
      <c r="L470" s="13">
        <v>44887.363807870373</v>
      </c>
      <c r="M470" s="13">
        <v>44887.363807870373</v>
      </c>
      <c r="N470" s="13"/>
      <c r="O470" t="s">
        <v>1145</v>
      </c>
      <c r="P470" t="s">
        <v>99</v>
      </c>
      <c r="Q470" t="s">
        <v>99</v>
      </c>
      <c r="R470" t="s">
        <v>99</v>
      </c>
      <c r="S470" t="s">
        <v>99</v>
      </c>
      <c r="T470" t="s">
        <v>99</v>
      </c>
      <c r="U470" t="s">
        <v>99</v>
      </c>
      <c r="V470" t="s">
        <v>99</v>
      </c>
      <c r="W470" t="s">
        <v>99</v>
      </c>
      <c r="X470" t="s">
        <v>99</v>
      </c>
      <c r="Y470" t="s">
        <v>99</v>
      </c>
      <c r="Z470" t="s">
        <v>99</v>
      </c>
    </row>
    <row r="471" spans="1:26">
      <c r="A471" t="s">
        <v>5607</v>
      </c>
      <c r="B471" t="s">
        <v>94</v>
      </c>
      <c r="C471">
        <v>2017</v>
      </c>
      <c r="D471" t="s">
        <v>1141</v>
      </c>
      <c r="E471" t="s">
        <v>1142</v>
      </c>
      <c r="F471" t="s">
        <v>1143</v>
      </c>
      <c r="G471" t="s">
        <v>99</v>
      </c>
      <c r="H471" t="s">
        <v>99</v>
      </c>
      <c r="I471" t="s">
        <v>1144</v>
      </c>
      <c r="J471" t="s">
        <v>99</v>
      </c>
      <c r="K471" t="s">
        <v>156</v>
      </c>
      <c r="L471" s="13">
        <v>44887.363807870373</v>
      </c>
      <c r="M471" s="13">
        <v>44887.363807870373</v>
      </c>
      <c r="N471" s="13"/>
      <c r="O471" t="s">
        <v>1145</v>
      </c>
      <c r="P471" t="s">
        <v>99</v>
      </c>
      <c r="Q471" t="s">
        <v>99</v>
      </c>
      <c r="R471" t="s">
        <v>99</v>
      </c>
      <c r="S471" t="s">
        <v>99</v>
      </c>
      <c r="T471" t="s">
        <v>99</v>
      </c>
      <c r="U471" t="s">
        <v>99</v>
      </c>
      <c r="V471" t="s">
        <v>99</v>
      </c>
      <c r="W471" t="s">
        <v>99</v>
      </c>
      <c r="X471" t="s">
        <v>99</v>
      </c>
      <c r="Y471" t="s">
        <v>99</v>
      </c>
      <c r="Z471" t="s">
        <v>99</v>
      </c>
    </row>
    <row r="472" spans="1:26">
      <c r="A472" t="s">
        <v>5608</v>
      </c>
      <c r="B472" t="s">
        <v>135</v>
      </c>
      <c r="C472">
        <v>2021</v>
      </c>
      <c r="D472" t="s">
        <v>1132</v>
      </c>
      <c r="E472" t="s">
        <v>1133</v>
      </c>
      <c r="F472" t="s">
        <v>675</v>
      </c>
      <c r="G472" t="s">
        <v>99</v>
      </c>
      <c r="H472" t="s">
        <v>99</v>
      </c>
      <c r="I472" t="s">
        <v>1134</v>
      </c>
      <c r="J472" t="s">
        <v>99</v>
      </c>
      <c r="K472" t="s">
        <v>113</v>
      </c>
      <c r="L472" s="13">
        <v>44887.363807870373</v>
      </c>
      <c r="M472" s="13">
        <v>44887.363807870373</v>
      </c>
      <c r="N472" s="13"/>
      <c r="O472" t="s">
        <v>1135</v>
      </c>
      <c r="P472" t="s">
        <v>99</v>
      </c>
      <c r="Q472" t="s">
        <v>870</v>
      </c>
      <c r="R472" t="s">
        <v>99</v>
      </c>
      <c r="S472" t="s">
        <v>99</v>
      </c>
      <c r="T472" t="s">
        <v>99</v>
      </c>
      <c r="U472" t="s">
        <v>99</v>
      </c>
      <c r="V472" t="s">
        <v>99</v>
      </c>
      <c r="W472" t="s">
        <v>99</v>
      </c>
      <c r="X472" t="s">
        <v>99</v>
      </c>
      <c r="Y472" t="s">
        <v>99</v>
      </c>
      <c r="Z472" t="s">
        <v>99</v>
      </c>
    </row>
    <row r="473" spans="1:26">
      <c r="A473" t="s">
        <v>5609</v>
      </c>
      <c r="B473" t="s">
        <v>94</v>
      </c>
      <c r="C473">
        <v>2022</v>
      </c>
      <c r="D473" t="s">
        <v>1119</v>
      </c>
      <c r="E473" t="s">
        <v>1120</v>
      </c>
      <c r="F473" t="s">
        <v>878</v>
      </c>
      <c r="G473" t="s">
        <v>99</v>
      </c>
      <c r="H473" t="s">
        <v>99</v>
      </c>
      <c r="I473" t="s">
        <v>1121</v>
      </c>
      <c r="J473" t="s">
        <v>99</v>
      </c>
      <c r="K473" t="s">
        <v>123</v>
      </c>
      <c r="L473" s="13">
        <v>44887.363807870373</v>
      </c>
      <c r="M473" s="13">
        <v>44887.363807870373</v>
      </c>
      <c r="N473" s="13"/>
      <c r="O473" t="s">
        <v>1122</v>
      </c>
      <c r="P473" t="s">
        <v>99</v>
      </c>
      <c r="Q473" t="s">
        <v>99</v>
      </c>
      <c r="R473" t="s">
        <v>99</v>
      </c>
      <c r="S473" t="s">
        <v>99</v>
      </c>
      <c r="T473" t="s">
        <v>99</v>
      </c>
      <c r="U473" t="s">
        <v>99</v>
      </c>
      <c r="V473" t="s">
        <v>99</v>
      </c>
      <c r="W473" t="s">
        <v>99</v>
      </c>
      <c r="X473" t="s">
        <v>99</v>
      </c>
      <c r="Y473" t="s">
        <v>99</v>
      </c>
      <c r="Z473" t="s">
        <v>99</v>
      </c>
    </row>
    <row r="474" spans="1:26">
      <c r="A474" t="s">
        <v>5610</v>
      </c>
      <c r="B474" t="s">
        <v>94</v>
      </c>
      <c r="C474">
        <v>2017</v>
      </c>
      <c r="D474" t="s">
        <v>1082</v>
      </c>
      <c r="E474" t="s">
        <v>1116</v>
      </c>
      <c r="F474" t="s">
        <v>1084</v>
      </c>
      <c r="G474" t="s">
        <v>99</v>
      </c>
      <c r="H474" t="s">
        <v>99</v>
      </c>
      <c r="I474" t="s">
        <v>1117</v>
      </c>
      <c r="J474" t="s">
        <v>99</v>
      </c>
      <c r="K474" t="s">
        <v>156</v>
      </c>
      <c r="L474" s="13">
        <v>44887.363807870373</v>
      </c>
      <c r="M474" s="13">
        <v>44887.363807870373</v>
      </c>
      <c r="N474" s="13"/>
      <c r="O474" t="s">
        <v>1118</v>
      </c>
      <c r="P474" t="s">
        <v>99</v>
      </c>
      <c r="Q474" t="s">
        <v>99</v>
      </c>
      <c r="R474" t="s">
        <v>99</v>
      </c>
      <c r="S474" t="s">
        <v>99</v>
      </c>
      <c r="T474" t="s">
        <v>99</v>
      </c>
      <c r="U474" t="s">
        <v>99</v>
      </c>
      <c r="V474" t="s">
        <v>99</v>
      </c>
      <c r="W474" t="s">
        <v>99</v>
      </c>
      <c r="X474" t="s">
        <v>99</v>
      </c>
      <c r="Y474" t="s">
        <v>99</v>
      </c>
      <c r="Z474" t="s">
        <v>99</v>
      </c>
    </row>
    <row r="475" spans="1:26">
      <c r="A475" t="s">
        <v>5611</v>
      </c>
      <c r="B475" t="s">
        <v>94</v>
      </c>
      <c r="C475">
        <v>2021</v>
      </c>
      <c r="D475" t="s">
        <v>1111</v>
      </c>
      <c r="E475" t="s">
        <v>1112</v>
      </c>
      <c r="F475" t="s">
        <v>1113</v>
      </c>
      <c r="G475" t="s">
        <v>99</v>
      </c>
      <c r="H475" t="s">
        <v>99</v>
      </c>
      <c r="I475" t="s">
        <v>1114</v>
      </c>
      <c r="J475" t="s">
        <v>99</v>
      </c>
      <c r="K475" t="s">
        <v>113</v>
      </c>
      <c r="L475" s="13">
        <v>44887.363807870373</v>
      </c>
      <c r="M475" s="13">
        <v>44887.363807870373</v>
      </c>
      <c r="N475" s="13"/>
      <c r="O475" t="s">
        <v>1115</v>
      </c>
      <c r="P475" t="s">
        <v>99</v>
      </c>
      <c r="Q475" t="s">
        <v>113</v>
      </c>
      <c r="R475" t="s">
        <v>99</v>
      </c>
      <c r="S475" t="s">
        <v>99</v>
      </c>
      <c r="T475" t="s">
        <v>99</v>
      </c>
      <c r="U475" t="s">
        <v>99</v>
      </c>
      <c r="V475" t="s">
        <v>99</v>
      </c>
      <c r="W475" t="s">
        <v>99</v>
      </c>
      <c r="X475" t="s">
        <v>99</v>
      </c>
      <c r="Y475" t="s">
        <v>99</v>
      </c>
      <c r="Z475" t="s">
        <v>99</v>
      </c>
    </row>
    <row r="476" spans="1:26">
      <c r="A476" t="s">
        <v>5612</v>
      </c>
      <c r="B476" t="s">
        <v>94</v>
      </c>
      <c r="C476">
        <v>2022</v>
      </c>
      <c r="D476" t="s">
        <v>1107</v>
      </c>
      <c r="E476" t="s">
        <v>1108</v>
      </c>
      <c r="F476" t="s">
        <v>1109</v>
      </c>
      <c r="G476" t="s">
        <v>99</v>
      </c>
      <c r="H476" t="s">
        <v>99</v>
      </c>
      <c r="I476" t="s">
        <v>1110</v>
      </c>
      <c r="J476" t="s">
        <v>99</v>
      </c>
      <c r="K476" t="s">
        <v>123</v>
      </c>
      <c r="L476" s="13">
        <v>44887.363807870373</v>
      </c>
      <c r="M476" s="13">
        <v>44887.363807870373</v>
      </c>
      <c r="N476" s="13"/>
      <c r="O476" t="s">
        <v>1073</v>
      </c>
      <c r="P476" t="s">
        <v>99</v>
      </c>
      <c r="Q476" t="s">
        <v>99</v>
      </c>
      <c r="R476" t="s">
        <v>99</v>
      </c>
      <c r="S476" t="s">
        <v>99</v>
      </c>
      <c r="T476" t="s">
        <v>99</v>
      </c>
      <c r="U476" t="s">
        <v>99</v>
      </c>
      <c r="V476" t="s">
        <v>99</v>
      </c>
      <c r="W476" t="s">
        <v>99</v>
      </c>
      <c r="X476" t="s">
        <v>99</v>
      </c>
      <c r="Y476" t="s">
        <v>99</v>
      </c>
      <c r="Z476" t="s">
        <v>99</v>
      </c>
    </row>
    <row r="477" spans="1:26">
      <c r="A477" t="s">
        <v>5613</v>
      </c>
      <c r="B477" t="s">
        <v>94</v>
      </c>
      <c r="C477">
        <v>2021</v>
      </c>
      <c r="D477" t="s">
        <v>1102</v>
      </c>
      <c r="E477" t="s">
        <v>1103</v>
      </c>
      <c r="F477" t="s">
        <v>1104</v>
      </c>
      <c r="G477" t="s">
        <v>99</v>
      </c>
      <c r="H477" t="s">
        <v>99</v>
      </c>
      <c r="I477" t="s">
        <v>1105</v>
      </c>
      <c r="J477" t="s">
        <v>99</v>
      </c>
      <c r="K477" t="s">
        <v>113</v>
      </c>
      <c r="L477" s="13">
        <v>44887.363807870373</v>
      </c>
      <c r="M477" s="13">
        <v>44887.363807870373</v>
      </c>
      <c r="N477" s="13"/>
      <c r="O477" t="s">
        <v>1106</v>
      </c>
      <c r="P477" t="s">
        <v>99</v>
      </c>
      <c r="Q477" t="s">
        <v>99</v>
      </c>
      <c r="R477" t="s">
        <v>99</v>
      </c>
      <c r="S477" t="s">
        <v>99</v>
      </c>
      <c r="T477" t="s">
        <v>99</v>
      </c>
      <c r="U477" t="s">
        <v>99</v>
      </c>
      <c r="V477" t="s">
        <v>99</v>
      </c>
      <c r="W477" t="s">
        <v>99</v>
      </c>
      <c r="X477" t="s">
        <v>99</v>
      </c>
      <c r="Y477" t="s">
        <v>99</v>
      </c>
      <c r="Z477" t="s">
        <v>99</v>
      </c>
    </row>
    <row r="478" spans="1:26">
      <c r="A478" t="s">
        <v>5614</v>
      </c>
      <c r="B478" t="s">
        <v>135</v>
      </c>
      <c r="C478">
        <v>2021</v>
      </c>
      <c r="D478" t="s">
        <v>1087</v>
      </c>
      <c r="E478" t="s">
        <v>1088</v>
      </c>
      <c r="F478" t="s">
        <v>1089</v>
      </c>
      <c r="G478" t="s">
        <v>99</v>
      </c>
      <c r="H478" t="s">
        <v>99</v>
      </c>
      <c r="I478" t="s">
        <v>1090</v>
      </c>
      <c r="J478" t="s">
        <v>99</v>
      </c>
      <c r="K478" t="s">
        <v>113</v>
      </c>
      <c r="L478" s="13">
        <v>44887.363807870373</v>
      </c>
      <c r="M478" s="13">
        <v>44887.363807870373</v>
      </c>
      <c r="N478" s="13"/>
      <c r="O478" t="s">
        <v>1091</v>
      </c>
      <c r="P478" t="s">
        <v>99</v>
      </c>
      <c r="Q478" t="s">
        <v>5333</v>
      </c>
      <c r="R478" t="s">
        <v>99</v>
      </c>
      <c r="S478" t="s">
        <v>99</v>
      </c>
      <c r="T478" t="s">
        <v>99</v>
      </c>
      <c r="U478" t="s">
        <v>99</v>
      </c>
      <c r="V478" t="s">
        <v>99</v>
      </c>
      <c r="W478" t="s">
        <v>99</v>
      </c>
      <c r="X478" t="s">
        <v>99</v>
      </c>
      <c r="Y478" t="s">
        <v>99</v>
      </c>
      <c r="Z478" t="s">
        <v>99</v>
      </c>
    </row>
    <row r="479" spans="1:26">
      <c r="A479" t="s">
        <v>5615</v>
      </c>
      <c r="B479" t="s">
        <v>135</v>
      </c>
      <c r="C479">
        <v>2020</v>
      </c>
      <c r="D479" t="s">
        <v>1128</v>
      </c>
      <c r="E479" t="s">
        <v>1129</v>
      </c>
      <c r="F479" t="s">
        <v>675</v>
      </c>
      <c r="G479" t="s">
        <v>99</v>
      </c>
      <c r="H479" t="s">
        <v>99</v>
      </c>
      <c r="I479" t="s">
        <v>1130</v>
      </c>
      <c r="J479" t="s">
        <v>99</v>
      </c>
      <c r="K479" t="s">
        <v>176</v>
      </c>
      <c r="L479" s="13">
        <v>44887.363807870373</v>
      </c>
      <c r="M479" s="13">
        <v>44887.363807870373</v>
      </c>
      <c r="N479" s="13"/>
      <c r="O479" t="s">
        <v>1131</v>
      </c>
      <c r="P479" t="s">
        <v>99</v>
      </c>
      <c r="Q479" t="s">
        <v>402</v>
      </c>
      <c r="R479" t="s">
        <v>99</v>
      </c>
      <c r="S479" t="s">
        <v>99</v>
      </c>
      <c r="T479" t="s">
        <v>99</v>
      </c>
      <c r="U479" t="s">
        <v>99</v>
      </c>
      <c r="V479" t="s">
        <v>99</v>
      </c>
      <c r="W479" t="s">
        <v>99</v>
      </c>
      <c r="X479" t="s">
        <v>99</v>
      </c>
      <c r="Y479" t="s">
        <v>99</v>
      </c>
      <c r="Z479" t="s">
        <v>99</v>
      </c>
    </row>
    <row r="480" spans="1:26">
      <c r="A480" t="s">
        <v>5616</v>
      </c>
      <c r="B480" t="s">
        <v>94</v>
      </c>
      <c r="C480">
        <v>2022</v>
      </c>
      <c r="D480" t="s">
        <v>1123</v>
      </c>
      <c r="E480" t="s">
        <v>1124</v>
      </c>
      <c r="F480" t="s">
        <v>1125</v>
      </c>
      <c r="G480" t="s">
        <v>99</v>
      </c>
      <c r="H480" t="s">
        <v>99</v>
      </c>
      <c r="I480" t="s">
        <v>1126</v>
      </c>
      <c r="J480" t="s">
        <v>99</v>
      </c>
      <c r="K480" t="s">
        <v>123</v>
      </c>
      <c r="L480" s="13">
        <v>44887.363807870373</v>
      </c>
      <c r="M480" s="13">
        <v>44887.363807870373</v>
      </c>
      <c r="N480" s="13"/>
      <c r="O480" t="s">
        <v>1127</v>
      </c>
      <c r="P480" t="s">
        <v>99</v>
      </c>
      <c r="Q480" t="s">
        <v>99</v>
      </c>
      <c r="R480" t="s">
        <v>99</v>
      </c>
      <c r="S480" t="s">
        <v>99</v>
      </c>
      <c r="T480" t="s">
        <v>99</v>
      </c>
      <c r="U480" t="s">
        <v>99</v>
      </c>
      <c r="V480" t="s">
        <v>99</v>
      </c>
      <c r="W480" t="s">
        <v>99</v>
      </c>
      <c r="X480" t="s">
        <v>99</v>
      </c>
      <c r="Y480" t="s">
        <v>99</v>
      </c>
      <c r="Z480" t="s">
        <v>99</v>
      </c>
    </row>
    <row r="481" spans="1:26">
      <c r="A481" t="s">
        <v>5617</v>
      </c>
      <c r="B481" t="s">
        <v>94</v>
      </c>
      <c r="C481">
        <v>2021</v>
      </c>
      <c r="D481" t="s">
        <v>1097</v>
      </c>
      <c r="E481" t="s">
        <v>1098</v>
      </c>
      <c r="F481" t="s">
        <v>1099</v>
      </c>
      <c r="G481" t="s">
        <v>99</v>
      </c>
      <c r="H481" t="s">
        <v>99</v>
      </c>
      <c r="I481" t="s">
        <v>1100</v>
      </c>
      <c r="J481" t="s">
        <v>99</v>
      </c>
      <c r="K481" t="s">
        <v>113</v>
      </c>
      <c r="L481" s="13">
        <v>44887.363807870373</v>
      </c>
      <c r="M481" s="13">
        <v>44887.363807870373</v>
      </c>
      <c r="N481" s="13"/>
      <c r="O481" t="s">
        <v>1101</v>
      </c>
      <c r="P481" t="s">
        <v>99</v>
      </c>
      <c r="Q481" t="s">
        <v>99</v>
      </c>
      <c r="R481" t="s">
        <v>99</v>
      </c>
      <c r="S481" t="s">
        <v>99</v>
      </c>
      <c r="T481" t="s">
        <v>99</v>
      </c>
      <c r="U481" t="s">
        <v>99</v>
      </c>
      <c r="V481" t="s">
        <v>99</v>
      </c>
      <c r="W481" t="s">
        <v>99</v>
      </c>
      <c r="X481" t="s">
        <v>99</v>
      </c>
      <c r="Y481" t="s">
        <v>99</v>
      </c>
      <c r="Z481" t="s">
        <v>99</v>
      </c>
    </row>
    <row r="482" spans="1:26">
      <c r="A482" t="s">
        <v>5618</v>
      </c>
      <c r="B482" t="s">
        <v>94</v>
      </c>
      <c r="C482">
        <v>2019</v>
      </c>
      <c r="D482" t="s">
        <v>1092</v>
      </c>
      <c r="E482" t="s">
        <v>1093</v>
      </c>
      <c r="F482" t="s">
        <v>1094</v>
      </c>
      <c r="G482" t="s">
        <v>99</v>
      </c>
      <c r="H482" t="s">
        <v>99</v>
      </c>
      <c r="I482" t="s">
        <v>1095</v>
      </c>
      <c r="J482" t="s">
        <v>99</v>
      </c>
      <c r="K482" t="s">
        <v>271</v>
      </c>
      <c r="L482" s="13">
        <v>44887.363807870373</v>
      </c>
      <c r="M482" s="13">
        <v>44887.363807870373</v>
      </c>
      <c r="N482" s="13"/>
      <c r="O482" t="s">
        <v>1096</v>
      </c>
      <c r="P482" t="s">
        <v>99</v>
      </c>
      <c r="Q482" t="s">
        <v>99</v>
      </c>
      <c r="R482" t="s">
        <v>99</v>
      </c>
      <c r="S482" t="s">
        <v>99</v>
      </c>
      <c r="T482" t="s">
        <v>99</v>
      </c>
      <c r="U482" t="s">
        <v>99</v>
      </c>
      <c r="V482" t="s">
        <v>99</v>
      </c>
      <c r="W482" t="s">
        <v>99</v>
      </c>
      <c r="X482" t="s">
        <v>99</v>
      </c>
      <c r="Y482" t="s">
        <v>99</v>
      </c>
      <c r="Z482" t="s">
        <v>99</v>
      </c>
    </row>
    <row r="483" spans="1:26">
      <c r="A483" t="s">
        <v>5619</v>
      </c>
      <c r="B483" t="s">
        <v>94</v>
      </c>
      <c r="C483">
        <v>2017</v>
      </c>
      <c r="D483" t="s">
        <v>1082</v>
      </c>
      <c r="E483" t="s">
        <v>1083</v>
      </c>
      <c r="F483" t="s">
        <v>1084</v>
      </c>
      <c r="G483" t="s">
        <v>99</v>
      </c>
      <c r="H483" t="s">
        <v>99</v>
      </c>
      <c r="I483" t="s">
        <v>1085</v>
      </c>
      <c r="J483" t="s">
        <v>99</v>
      </c>
      <c r="K483" t="s">
        <v>156</v>
      </c>
      <c r="L483" s="13">
        <v>44887.363807870373</v>
      </c>
      <c r="M483" s="13">
        <v>44887.363807870373</v>
      </c>
      <c r="N483" s="13"/>
      <c r="O483" t="s">
        <v>1086</v>
      </c>
      <c r="P483" t="s">
        <v>99</v>
      </c>
      <c r="Q483" t="s">
        <v>99</v>
      </c>
      <c r="R483" t="s">
        <v>99</v>
      </c>
      <c r="S483" t="s">
        <v>99</v>
      </c>
      <c r="T483" t="s">
        <v>99</v>
      </c>
      <c r="U483" t="s">
        <v>99</v>
      </c>
      <c r="V483" t="s">
        <v>99</v>
      </c>
      <c r="W483" t="s">
        <v>99</v>
      </c>
      <c r="X483" t="s">
        <v>99</v>
      </c>
      <c r="Y483" t="s">
        <v>99</v>
      </c>
      <c r="Z483" t="s">
        <v>99</v>
      </c>
    </row>
    <row r="484" spans="1:26">
      <c r="A484" t="s">
        <v>5620</v>
      </c>
      <c r="B484" t="s">
        <v>135</v>
      </c>
      <c r="C484">
        <v>2021</v>
      </c>
      <c r="D484" t="s">
        <v>1078</v>
      </c>
      <c r="E484" t="s">
        <v>1079</v>
      </c>
      <c r="F484" t="s">
        <v>675</v>
      </c>
      <c r="G484" t="s">
        <v>99</v>
      </c>
      <c r="H484" t="s">
        <v>99</v>
      </c>
      <c r="I484" t="s">
        <v>1080</v>
      </c>
      <c r="J484" t="s">
        <v>99</v>
      </c>
      <c r="K484" t="s">
        <v>113</v>
      </c>
      <c r="L484" s="13">
        <v>44887.363807870373</v>
      </c>
      <c r="M484" s="13">
        <v>44887.363807870373</v>
      </c>
      <c r="N484" s="13"/>
      <c r="O484" t="s">
        <v>1081</v>
      </c>
      <c r="P484" t="s">
        <v>99</v>
      </c>
      <c r="Q484" t="s">
        <v>870</v>
      </c>
      <c r="R484" t="s">
        <v>99</v>
      </c>
      <c r="S484" t="s">
        <v>99</v>
      </c>
      <c r="T484" t="s">
        <v>99</v>
      </c>
      <c r="U484" t="s">
        <v>99</v>
      </c>
      <c r="V484" t="s">
        <v>99</v>
      </c>
      <c r="W484" t="s">
        <v>99</v>
      </c>
      <c r="X484" t="s">
        <v>99</v>
      </c>
      <c r="Y484" t="s">
        <v>99</v>
      </c>
      <c r="Z484" t="s">
        <v>99</v>
      </c>
    </row>
    <row r="485" spans="1:26">
      <c r="A485" t="s">
        <v>5621</v>
      </c>
      <c r="B485" t="s">
        <v>135</v>
      </c>
      <c r="C485">
        <v>2022</v>
      </c>
      <c r="D485" t="s">
        <v>1074</v>
      </c>
      <c r="E485" t="s">
        <v>1075</v>
      </c>
      <c r="F485" t="s">
        <v>675</v>
      </c>
      <c r="G485" t="s">
        <v>99</v>
      </c>
      <c r="H485" t="s">
        <v>99</v>
      </c>
      <c r="I485" t="s">
        <v>1076</v>
      </c>
      <c r="J485" t="s">
        <v>99</v>
      </c>
      <c r="K485" t="s">
        <v>123</v>
      </c>
      <c r="L485" s="13">
        <v>44887.363807870373</v>
      </c>
      <c r="M485" s="13">
        <v>44887.363807870373</v>
      </c>
      <c r="N485" s="13"/>
      <c r="O485" t="s">
        <v>1077</v>
      </c>
      <c r="P485" t="s">
        <v>99</v>
      </c>
      <c r="Q485" t="s">
        <v>2668</v>
      </c>
      <c r="R485" t="s">
        <v>99</v>
      </c>
      <c r="S485" t="s">
        <v>99</v>
      </c>
      <c r="T485" t="s">
        <v>99</v>
      </c>
      <c r="U485" t="s">
        <v>99</v>
      </c>
      <c r="V485" t="s">
        <v>99</v>
      </c>
      <c r="W485" t="s">
        <v>99</v>
      </c>
      <c r="X485" t="s">
        <v>99</v>
      </c>
      <c r="Y485" t="s">
        <v>99</v>
      </c>
      <c r="Z485" t="s">
        <v>99</v>
      </c>
    </row>
    <row r="486" spans="1:26">
      <c r="A486" t="s">
        <v>5622</v>
      </c>
      <c r="B486" t="s">
        <v>94</v>
      </c>
      <c r="C486">
        <v>2019</v>
      </c>
      <c r="D486" t="s">
        <v>1069</v>
      </c>
      <c r="E486" t="s">
        <v>1070</v>
      </c>
      <c r="F486" t="s">
        <v>1071</v>
      </c>
      <c r="G486" t="s">
        <v>99</v>
      </c>
      <c r="H486" t="s">
        <v>99</v>
      </c>
      <c r="I486" t="s">
        <v>1072</v>
      </c>
      <c r="J486" t="s">
        <v>99</v>
      </c>
      <c r="K486" t="s">
        <v>271</v>
      </c>
      <c r="L486" s="13">
        <v>44887.363807870373</v>
      </c>
      <c r="M486" s="13">
        <v>44887.363807870373</v>
      </c>
      <c r="N486" s="13"/>
      <c r="O486" t="s">
        <v>1073</v>
      </c>
      <c r="P486" t="s">
        <v>99</v>
      </c>
      <c r="Q486" t="s">
        <v>99</v>
      </c>
      <c r="R486" t="s">
        <v>99</v>
      </c>
      <c r="S486" t="s">
        <v>99</v>
      </c>
      <c r="T486" t="s">
        <v>99</v>
      </c>
      <c r="U486" t="s">
        <v>99</v>
      </c>
      <c r="V486" t="s">
        <v>99</v>
      </c>
      <c r="W486" t="s">
        <v>99</v>
      </c>
      <c r="X486" t="s">
        <v>99</v>
      </c>
      <c r="Y486" t="s">
        <v>99</v>
      </c>
      <c r="Z486" t="s">
        <v>99</v>
      </c>
    </row>
    <row r="487" spans="1:26">
      <c r="A487" t="s">
        <v>5623</v>
      </c>
      <c r="B487" t="s">
        <v>94</v>
      </c>
      <c r="C487">
        <v>2020</v>
      </c>
      <c r="D487" t="s">
        <v>1064</v>
      </c>
      <c r="E487" t="s">
        <v>1065</v>
      </c>
      <c r="F487" t="s">
        <v>1066</v>
      </c>
      <c r="G487" t="s">
        <v>99</v>
      </c>
      <c r="H487" t="s">
        <v>99</v>
      </c>
      <c r="I487" t="s">
        <v>1067</v>
      </c>
      <c r="J487" t="s">
        <v>99</v>
      </c>
      <c r="K487" t="s">
        <v>176</v>
      </c>
      <c r="L487" s="13">
        <v>44887.363807870373</v>
      </c>
      <c r="M487" s="13">
        <v>44887.363807870373</v>
      </c>
      <c r="N487" s="13"/>
      <c r="O487" t="s">
        <v>1068</v>
      </c>
      <c r="P487" t="s">
        <v>99</v>
      </c>
      <c r="Q487" t="s">
        <v>99</v>
      </c>
      <c r="R487" t="s">
        <v>99</v>
      </c>
      <c r="S487" t="s">
        <v>99</v>
      </c>
      <c r="T487" t="s">
        <v>99</v>
      </c>
      <c r="U487" t="s">
        <v>99</v>
      </c>
      <c r="V487" t="s">
        <v>99</v>
      </c>
      <c r="W487" t="s">
        <v>99</v>
      </c>
      <c r="X487" t="s">
        <v>99</v>
      </c>
      <c r="Y487" t="s">
        <v>99</v>
      </c>
      <c r="Z487" t="s">
        <v>99</v>
      </c>
    </row>
    <row r="488" spans="1:26">
      <c r="A488" t="s">
        <v>5624</v>
      </c>
      <c r="B488" t="s">
        <v>135</v>
      </c>
      <c r="C488">
        <v>2021</v>
      </c>
      <c r="D488" t="s">
        <v>1059</v>
      </c>
      <c r="E488" t="s">
        <v>1060</v>
      </c>
      <c r="F488" t="s">
        <v>1061</v>
      </c>
      <c r="G488" t="s">
        <v>99</v>
      </c>
      <c r="H488" t="s">
        <v>99</v>
      </c>
      <c r="I488" t="s">
        <v>1062</v>
      </c>
      <c r="J488" t="s">
        <v>99</v>
      </c>
      <c r="K488" t="s">
        <v>113</v>
      </c>
      <c r="L488" s="13">
        <v>44887.363807870373</v>
      </c>
      <c r="M488" s="13">
        <v>44887.363807870373</v>
      </c>
      <c r="N488" s="13"/>
      <c r="O488" t="s">
        <v>1063</v>
      </c>
      <c r="P488" t="s">
        <v>543</v>
      </c>
      <c r="Q488" t="s">
        <v>2668</v>
      </c>
      <c r="R488" t="s">
        <v>99</v>
      </c>
      <c r="S488" t="s">
        <v>99</v>
      </c>
      <c r="T488" t="s">
        <v>99</v>
      </c>
      <c r="U488" t="s">
        <v>99</v>
      </c>
      <c r="V488" t="s">
        <v>99</v>
      </c>
      <c r="W488" t="s">
        <v>99</v>
      </c>
      <c r="X488" t="s">
        <v>99</v>
      </c>
      <c r="Y488" t="s">
        <v>99</v>
      </c>
      <c r="Z488" t="s">
        <v>99</v>
      </c>
    </row>
    <row r="489" spans="1:26">
      <c r="A489" t="s">
        <v>5625</v>
      </c>
      <c r="B489" t="s">
        <v>94</v>
      </c>
      <c r="C489">
        <v>2016</v>
      </c>
      <c r="D489" t="s">
        <v>1054</v>
      </c>
      <c r="E489" t="s">
        <v>1055</v>
      </c>
      <c r="F489" t="s">
        <v>1056</v>
      </c>
      <c r="G489" t="s">
        <v>99</v>
      </c>
      <c r="H489" t="s">
        <v>99</v>
      </c>
      <c r="I489" t="s">
        <v>1057</v>
      </c>
      <c r="J489" t="s">
        <v>99</v>
      </c>
      <c r="K489" t="s">
        <v>331</v>
      </c>
      <c r="L489" s="13">
        <v>44887.363807870373</v>
      </c>
      <c r="M489" s="13">
        <v>44887.363807870373</v>
      </c>
      <c r="N489" s="13"/>
      <c r="O489" t="s">
        <v>1058</v>
      </c>
      <c r="P489" t="s">
        <v>99</v>
      </c>
      <c r="Q489" t="s">
        <v>99</v>
      </c>
      <c r="R489" t="s">
        <v>99</v>
      </c>
      <c r="S489" t="s">
        <v>99</v>
      </c>
      <c r="T489" t="s">
        <v>99</v>
      </c>
      <c r="U489" t="s">
        <v>99</v>
      </c>
      <c r="V489" t="s">
        <v>99</v>
      </c>
      <c r="W489" t="s">
        <v>99</v>
      </c>
      <c r="X489" t="s">
        <v>99</v>
      </c>
      <c r="Y489" t="s">
        <v>99</v>
      </c>
      <c r="Z489" t="s">
        <v>99</v>
      </c>
    </row>
    <row r="490" spans="1:26">
      <c r="A490" t="s">
        <v>5626</v>
      </c>
      <c r="B490" t="s">
        <v>135</v>
      </c>
      <c r="C490">
        <v>2019</v>
      </c>
      <c r="D490" t="s">
        <v>1049</v>
      </c>
      <c r="E490" t="s">
        <v>1050</v>
      </c>
      <c r="F490" t="s">
        <v>1051</v>
      </c>
      <c r="G490" t="s">
        <v>99</v>
      </c>
      <c r="H490" t="s">
        <v>99</v>
      </c>
      <c r="I490" t="s">
        <v>1052</v>
      </c>
      <c r="J490" t="s">
        <v>99</v>
      </c>
      <c r="K490" t="s">
        <v>271</v>
      </c>
      <c r="L490" s="13">
        <v>44887.363807870373</v>
      </c>
      <c r="M490" s="13">
        <v>44887.363807870373</v>
      </c>
      <c r="N490" s="13"/>
      <c r="O490" t="s">
        <v>1053</v>
      </c>
      <c r="P490" t="s">
        <v>363</v>
      </c>
      <c r="Q490" t="s">
        <v>5627</v>
      </c>
      <c r="R490" t="s">
        <v>99</v>
      </c>
      <c r="S490" t="s">
        <v>99</v>
      </c>
      <c r="T490" t="s">
        <v>99</v>
      </c>
      <c r="U490" t="s">
        <v>99</v>
      </c>
      <c r="V490" t="s">
        <v>99</v>
      </c>
      <c r="W490" t="s">
        <v>99</v>
      </c>
      <c r="X490" t="s">
        <v>99</v>
      </c>
      <c r="Y490" t="s">
        <v>99</v>
      </c>
      <c r="Z490" t="s">
        <v>99</v>
      </c>
    </row>
    <row r="491" spans="1:26">
      <c r="A491" t="s">
        <v>5628</v>
      </c>
      <c r="B491" t="s">
        <v>94</v>
      </c>
      <c r="C491">
        <v>2020</v>
      </c>
      <c r="D491" t="s">
        <v>1041</v>
      </c>
      <c r="E491" t="s">
        <v>1042</v>
      </c>
      <c r="F491" t="s">
        <v>1043</v>
      </c>
      <c r="G491" t="s">
        <v>99</v>
      </c>
      <c r="H491" t="s">
        <v>99</v>
      </c>
      <c r="I491" t="s">
        <v>1044</v>
      </c>
      <c r="J491" t="s">
        <v>99</v>
      </c>
      <c r="K491" t="s">
        <v>176</v>
      </c>
      <c r="L491" s="13">
        <v>44887.363807870373</v>
      </c>
      <c r="M491" s="13">
        <v>44887.363807870373</v>
      </c>
      <c r="N491" s="13"/>
      <c r="O491" t="s">
        <v>682</v>
      </c>
      <c r="P491" t="s">
        <v>99</v>
      </c>
      <c r="Q491" t="s">
        <v>99</v>
      </c>
      <c r="R491" t="s">
        <v>99</v>
      </c>
      <c r="S491" t="s">
        <v>99</v>
      </c>
      <c r="T491" t="s">
        <v>99</v>
      </c>
      <c r="U491" t="s">
        <v>99</v>
      </c>
      <c r="V491" t="s">
        <v>99</v>
      </c>
      <c r="W491" t="s">
        <v>99</v>
      </c>
      <c r="X491" t="s">
        <v>99</v>
      </c>
      <c r="Y491" t="s">
        <v>99</v>
      </c>
      <c r="Z491" t="s">
        <v>99</v>
      </c>
    </row>
    <row r="492" spans="1:26">
      <c r="A492" t="s">
        <v>5629</v>
      </c>
      <c r="B492" t="s">
        <v>94</v>
      </c>
      <c r="C492">
        <v>2020</v>
      </c>
      <c r="D492" t="s">
        <v>1045</v>
      </c>
      <c r="E492" t="s">
        <v>1046</v>
      </c>
      <c r="F492" t="s">
        <v>1047</v>
      </c>
      <c r="G492" t="s">
        <v>99</v>
      </c>
      <c r="H492" t="s">
        <v>99</v>
      </c>
      <c r="I492" t="s">
        <v>1048</v>
      </c>
      <c r="J492" t="s">
        <v>99</v>
      </c>
      <c r="K492" t="s">
        <v>176</v>
      </c>
      <c r="L492" s="13">
        <v>44887.363807870373</v>
      </c>
      <c r="M492" s="13">
        <v>44887.363807870373</v>
      </c>
      <c r="N492" s="13"/>
      <c r="O492" t="s">
        <v>672</v>
      </c>
      <c r="P492" t="s">
        <v>99</v>
      </c>
      <c r="Q492" t="s">
        <v>99</v>
      </c>
      <c r="R492" t="s">
        <v>99</v>
      </c>
      <c r="S492" t="s">
        <v>99</v>
      </c>
      <c r="T492" t="s">
        <v>99</v>
      </c>
      <c r="U492" t="s">
        <v>99</v>
      </c>
      <c r="V492" t="s">
        <v>99</v>
      </c>
      <c r="W492" t="s">
        <v>99</v>
      </c>
      <c r="X492" t="s">
        <v>99</v>
      </c>
      <c r="Y492" t="s">
        <v>99</v>
      </c>
      <c r="Z492" t="s">
        <v>99</v>
      </c>
    </row>
    <row r="493" spans="1:26">
      <c r="A493" t="s">
        <v>5630</v>
      </c>
      <c r="B493" t="s">
        <v>94</v>
      </c>
      <c r="C493">
        <v>2020</v>
      </c>
      <c r="D493" t="s">
        <v>1036</v>
      </c>
      <c r="E493" t="s">
        <v>1037</v>
      </c>
      <c r="F493" t="s">
        <v>1038</v>
      </c>
      <c r="G493" t="s">
        <v>99</v>
      </c>
      <c r="H493" t="s">
        <v>99</v>
      </c>
      <c r="I493" t="s">
        <v>1039</v>
      </c>
      <c r="J493" t="s">
        <v>99</v>
      </c>
      <c r="K493" t="s">
        <v>176</v>
      </c>
      <c r="L493" s="13">
        <v>44887.363807870373</v>
      </c>
      <c r="M493" s="13">
        <v>44887.363807870373</v>
      </c>
      <c r="N493" s="13"/>
      <c r="O493" t="s">
        <v>1040</v>
      </c>
      <c r="P493" t="s">
        <v>99</v>
      </c>
      <c r="Q493" t="s">
        <v>99</v>
      </c>
      <c r="R493" t="s">
        <v>99</v>
      </c>
      <c r="S493" t="s">
        <v>99</v>
      </c>
      <c r="T493" t="s">
        <v>99</v>
      </c>
      <c r="U493" t="s">
        <v>99</v>
      </c>
      <c r="V493" t="s">
        <v>99</v>
      </c>
      <c r="W493" t="s">
        <v>99</v>
      </c>
      <c r="X493" t="s">
        <v>99</v>
      </c>
      <c r="Y493" t="s">
        <v>99</v>
      </c>
      <c r="Z493" t="s">
        <v>99</v>
      </c>
    </row>
    <row r="494" spans="1:26">
      <c r="A494" t="s">
        <v>5631</v>
      </c>
      <c r="B494" t="s">
        <v>94</v>
      </c>
      <c r="C494">
        <v>2022</v>
      </c>
      <c r="D494" t="s">
        <v>1031</v>
      </c>
      <c r="E494" t="s">
        <v>1032</v>
      </c>
      <c r="F494" t="s">
        <v>1033</v>
      </c>
      <c r="G494" t="s">
        <v>99</v>
      </c>
      <c r="H494" t="s">
        <v>99</v>
      </c>
      <c r="I494" t="s">
        <v>1034</v>
      </c>
      <c r="J494" t="s">
        <v>99</v>
      </c>
      <c r="K494" t="s">
        <v>123</v>
      </c>
      <c r="L494" s="13">
        <v>44887.363807870373</v>
      </c>
      <c r="M494" s="13">
        <v>44887.363807870373</v>
      </c>
      <c r="N494" s="13"/>
      <c r="O494" t="s">
        <v>1035</v>
      </c>
      <c r="P494" t="s">
        <v>99</v>
      </c>
      <c r="Q494" t="s">
        <v>99</v>
      </c>
      <c r="R494" t="s">
        <v>99</v>
      </c>
      <c r="S494" t="s">
        <v>99</v>
      </c>
      <c r="T494" t="s">
        <v>99</v>
      </c>
      <c r="U494" t="s">
        <v>99</v>
      </c>
      <c r="V494" t="s">
        <v>99</v>
      </c>
      <c r="W494" t="s">
        <v>99</v>
      </c>
      <c r="X494" t="s">
        <v>99</v>
      </c>
      <c r="Y494" t="s">
        <v>99</v>
      </c>
      <c r="Z494" t="s">
        <v>99</v>
      </c>
    </row>
    <row r="495" spans="1:26">
      <c r="A495" t="s">
        <v>5632</v>
      </c>
      <c r="B495" t="s">
        <v>94</v>
      </c>
      <c r="C495">
        <v>2019</v>
      </c>
      <c r="D495" t="s">
        <v>1026</v>
      </c>
      <c r="E495" t="s">
        <v>1027</v>
      </c>
      <c r="F495" t="s">
        <v>1028</v>
      </c>
      <c r="G495" t="s">
        <v>99</v>
      </c>
      <c r="H495" t="s">
        <v>99</v>
      </c>
      <c r="I495" t="s">
        <v>1029</v>
      </c>
      <c r="J495" t="s">
        <v>99</v>
      </c>
      <c r="K495" t="s">
        <v>271</v>
      </c>
      <c r="L495" s="13">
        <v>44887.363807870373</v>
      </c>
      <c r="M495" s="13">
        <v>44887.363807870373</v>
      </c>
      <c r="N495" s="13"/>
      <c r="O495" t="s">
        <v>1030</v>
      </c>
      <c r="P495" t="s">
        <v>99</v>
      </c>
      <c r="Q495" t="s">
        <v>99</v>
      </c>
      <c r="R495" t="s">
        <v>99</v>
      </c>
      <c r="S495" t="s">
        <v>99</v>
      </c>
      <c r="T495" t="s">
        <v>99</v>
      </c>
      <c r="U495" t="s">
        <v>99</v>
      </c>
      <c r="V495" t="s">
        <v>99</v>
      </c>
      <c r="W495" t="s">
        <v>99</v>
      </c>
      <c r="X495" t="s">
        <v>99</v>
      </c>
      <c r="Y495" t="s">
        <v>99</v>
      </c>
      <c r="Z495" t="s">
        <v>99</v>
      </c>
    </row>
    <row r="496" spans="1:26">
      <c r="A496" t="s">
        <v>5633</v>
      </c>
      <c r="B496" t="s">
        <v>135</v>
      </c>
      <c r="C496">
        <v>2022</v>
      </c>
      <c r="D496" t="s">
        <v>1022</v>
      </c>
      <c r="E496" t="s">
        <v>1023</v>
      </c>
      <c r="F496" t="s">
        <v>675</v>
      </c>
      <c r="G496" t="s">
        <v>99</v>
      </c>
      <c r="H496" t="s">
        <v>99</v>
      </c>
      <c r="I496" t="s">
        <v>1024</v>
      </c>
      <c r="J496" t="s">
        <v>99</v>
      </c>
      <c r="K496" t="s">
        <v>123</v>
      </c>
      <c r="L496" s="13">
        <v>44887.363807870373</v>
      </c>
      <c r="M496" s="13">
        <v>44887.363807870373</v>
      </c>
      <c r="N496" s="13"/>
      <c r="O496" t="s">
        <v>1025</v>
      </c>
      <c r="P496" t="s">
        <v>99</v>
      </c>
      <c r="Q496" t="s">
        <v>2668</v>
      </c>
      <c r="R496" t="s">
        <v>99</v>
      </c>
      <c r="S496" t="s">
        <v>99</v>
      </c>
      <c r="T496" t="s">
        <v>99</v>
      </c>
      <c r="U496" t="s">
        <v>99</v>
      </c>
      <c r="V496" t="s">
        <v>99</v>
      </c>
      <c r="W496" t="s">
        <v>99</v>
      </c>
      <c r="X496" t="s">
        <v>99</v>
      </c>
      <c r="Y496" t="s">
        <v>99</v>
      </c>
      <c r="Z496" t="s">
        <v>99</v>
      </c>
    </row>
    <row r="497" spans="1:26">
      <c r="A497" t="s">
        <v>5634</v>
      </c>
      <c r="B497" t="s">
        <v>94</v>
      </c>
      <c r="C497">
        <v>2014</v>
      </c>
      <c r="D497" t="s">
        <v>1017</v>
      </c>
      <c r="E497" t="s">
        <v>1018</v>
      </c>
      <c r="F497" t="s">
        <v>1019</v>
      </c>
      <c r="G497" t="s">
        <v>99</v>
      </c>
      <c r="H497" t="s">
        <v>99</v>
      </c>
      <c r="I497" t="s">
        <v>1020</v>
      </c>
      <c r="J497" t="s">
        <v>99</v>
      </c>
      <c r="K497" t="s">
        <v>400</v>
      </c>
      <c r="L497" s="13">
        <v>44887.363807870373</v>
      </c>
      <c r="M497" s="13">
        <v>44887.363807870373</v>
      </c>
      <c r="N497" s="13"/>
      <c r="O497" t="s">
        <v>1021</v>
      </c>
      <c r="P497" t="s">
        <v>99</v>
      </c>
      <c r="Q497" t="s">
        <v>99</v>
      </c>
      <c r="R497" t="s">
        <v>99</v>
      </c>
      <c r="S497" t="s">
        <v>99</v>
      </c>
      <c r="T497" t="s">
        <v>99</v>
      </c>
      <c r="U497" t="s">
        <v>99</v>
      </c>
      <c r="V497" t="s">
        <v>99</v>
      </c>
      <c r="W497" t="s">
        <v>99</v>
      </c>
      <c r="X497" t="s">
        <v>99</v>
      </c>
      <c r="Y497" t="s">
        <v>99</v>
      </c>
      <c r="Z497" t="s">
        <v>99</v>
      </c>
    </row>
    <row r="498" spans="1:26">
      <c r="A498" t="s">
        <v>5635</v>
      </c>
      <c r="B498" t="s">
        <v>135</v>
      </c>
      <c r="C498">
        <v>2020</v>
      </c>
      <c r="D498" t="s">
        <v>1009</v>
      </c>
      <c r="E498" t="s">
        <v>1010</v>
      </c>
      <c r="F498" t="s">
        <v>675</v>
      </c>
      <c r="G498" t="s">
        <v>99</v>
      </c>
      <c r="H498" t="s">
        <v>99</v>
      </c>
      <c r="I498" t="s">
        <v>1011</v>
      </c>
      <c r="J498" t="s">
        <v>99</v>
      </c>
      <c r="K498" t="s">
        <v>176</v>
      </c>
      <c r="L498" s="13">
        <v>44887.363807870373</v>
      </c>
      <c r="M498" s="13">
        <v>44887.363807870373</v>
      </c>
      <c r="N498" s="13"/>
      <c r="O498" t="s">
        <v>1012</v>
      </c>
      <c r="P498" t="s">
        <v>99</v>
      </c>
      <c r="Q498" t="s">
        <v>402</v>
      </c>
      <c r="R498" t="s">
        <v>99</v>
      </c>
      <c r="S498" t="s">
        <v>99</v>
      </c>
      <c r="T498" t="s">
        <v>99</v>
      </c>
      <c r="U498" t="s">
        <v>99</v>
      </c>
      <c r="V498" t="s">
        <v>99</v>
      </c>
      <c r="W498" t="s">
        <v>99</v>
      </c>
      <c r="X498" t="s">
        <v>99</v>
      </c>
      <c r="Y498" t="s">
        <v>99</v>
      </c>
      <c r="Z498" t="s">
        <v>99</v>
      </c>
    </row>
    <row r="499" spans="1:26">
      <c r="A499" t="s">
        <v>5636</v>
      </c>
      <c r="B499" t="s">
        <v>94</v>
      </c>
      <c r="C499">
        <v>2015</v>
      </c>
      <c r="D499" t="s">
        <v>1004</v>
      </c>
      <c r="E499" t="s">
        <v>1005</v>
      </c>
      <c r="F499" t="s">
        <v>1006</v>
      </c>
      <c r="G499" t="s">
        <v>99</v>
      </c>
      <c r="H499" t="s">
        <v>99</v>
      </c>
      <c r="I499" t="s">
        <v>1007</v>
      </c>
      <c r="J499" t="s">
        <v>99</v>
      </c>
      <c r="K499" t="s">
        <v>564</v>
      </c>
      <c r="L499" s="13">
        <v>44887.363807870373</v>
      </c>
      <c r="M499" s="13">
        <v>44887.363807870373</v>
      </c>
      <c r="N499" s="13"/>
      <c r="O499" t="s">
        <v>1008</v>
      </c>
      <c r="P499" t="s">
        <v>99</v>
      </c>
      <c r="Q499" t="s">
        <v>99</v>
      </c>
      <c r="R499" t="s">
        <v>99</v>
      </c>
      <c r="S499" t="s">
        <v>99</v>
      </c>
      <c r="T499" t="s">
        <v>99</v>
      </c>
      <c r="U499" t="s">
        <v>99</v>
      </c>
      <c r="V499" t="s">
        <v>99</v>
      </c>
      <c r="W499" t="s">
        <v>99</v>
      </c>
      <c r="X499" t="s">
        <v>99</v>
      </c>
      <c r="Y499" t="s">
        <v>99</v>
      </c>
      <c r="Z499" t="s">
        <v>99</v>
      </c>
    </row>
    <row r="500" spans="1:26">
      <c r="A500" t="s">
        <v>5637</v>
      </c>
      <c r="B500" t="s">
        <v>94</v>
      </c>
      <c r="C500">
        <v>2017</v>
      </c>
      <c r="D500" t="s">
        <v>994</v>
      </c>
      <c r="E500" t="s">
        <v>995</v>
      </c>
      <c r="F500" t="s">
        <v>996</v>
      </c>
      <c r="G500" t="s">
        <v>99</v>
      </c>
      <c r="H500" t="s">
        <v>99</v>
      </c>
      <c r="I500" t="s">
        <v>997</v>
      </c>
      <c r="J500" t="s">
        <v>99</v>
      </c>
      <c r="K500" t="s">
        <v>156</v>
      </c>
      <c r="L500" s="13">
        <v>44887.363807870373</v>
      </c>
      <c r="M500" s="13">
        <v>44887.363807870373</v>
      </c>
      <c r="N500" s="13"/>
      <c r="O500" t="s">
        <v>998</v>
      </c>
      <c r="P500" t="s">
        <v>99</v>
      </c>
      <c r="Q500" t="s">
        <v>99</v>
      </c>
      <c r="R500" t="s">
        <v>99</v>
      </c>
      <c r="S500" t="s">
        <v>99</v>
      </c>
      <c r="T500" t="s">
        <v>99</v>
      </c>
      <c r="U500" t="s">
        <v>99</v>
      </c>
      <c r="V500" t="s">
        <v>99</v>
      </c>
      <c r="W500" t="s">
        <v>99</v>
      </c>
      <c r="X500" t="s">
        <v>99</v>
      </c>
      <c r="Y500" t="s">
        <v>99</v>
      </c>
      <c r="Z500" t="s">
        <v>99</v>
      </c>
    </row>
    <row r="501" spans="1:26">
      <c r="A501" t="s">
        <v>5638</v>
      </c>
      <c r="B501" t="s">
        <v>94</v>
      </c>
      <c r="C501">
        <v>2010</v>
      </c>
      <c r="D501" t="s">
        <v>99</v>
      </c>
      <c r="E501" t="s">
        <v>990</v>
      </c>
      <c r="F501" t="s">
        <v>991</v>
      </c>
      <c r="G501" t="s">
        <v>99</v>
      </c>
      <c r="H501" t="s">
        <v>99</v>
      </c>
      <c r="I501" t="s">
        <v>992</v>
      </c>
      <c r="J501" t="s">
        <v>99</v>
      </c>
      <c r="K501" t="s">
        <v>130</v>
      </c>
      <c r="L501" s="13">
        <v>44887.363807870373</v>
      </c>
      <c r="M501" s="13">
        <v>44887.363807870373</v>
      </c>
      <c r="N501" s="13"/>
      <c r="O501" t="s">
        <v>993</v>
      </c>
      <c r="P501" t="s">
        <v>99</v>
      </c>
      <c r="Q501" t="s">
        <v>99</v>
      </c>
      <c r="R501" t="s">
        <v>99</v>
      </c>
      <c r="S501" t="s">
        <v>99</v>
      </c>
      <c r="T501" t="s">
        <v>99</v>
      </c>
      <c r="U501" t="s">
        <v>99</v>
      </c>
      <c r="V501" t="s">
        <v>99</v>
      </c>
      <c r="W501" t="s">
        <v>99</v>
      </c>
      <c r="X501" t="s">
        <v>99</v>
      </c>
      <c r="Y501" t="s">
        <v>99</v>
      </c>
      <c r="Z501" t="s">
        <v>99</v>
      </c>
    </row>
    <row r="502" spans="1:26">
      <c r="A502" t="s">
        <v>5639</v>
      </c>
      <c r="B502" t="s">
        <v>94</v>
      </c>
      <c r="C502">
        <v>2013</v>
      </c>
      <c r="D502" t="s">
        <v>1013</v>
      </c>
      <c r="E502" t="s">
        <v>1014</v>
      </c>
      <c r="F502" t="s">
        <v>987</v>
      </c>
      <c r="G502" t="s">
        <v>99</v>
      </c>
      <c r="H502" t="s">
        <v>99</v>
      </c>
      <c r="I502" t="s">
        <v>1015</v>
      </c>
      <c r="J502" t="s">
        <v>99</v>
      </c>
      <c r="K502" t="s">
        <v>139</v>
      </c>
      <c r="L502" s="13">
        <v>44887.363807870373</v>
      </c>
      <c r="M502" s="13">
        <v>44887.363807870373</v>
      </c>
      <c r="N502" s="13"/>
      <c r="O502" t="s">
        <v>1016</v>
      </c>
      <c r="P502" t="s">
        <v>99</v>
      </c>
      <c r="Q502" t="s">
        <v>99</v>
      </c>
      <c r="R502" t="s">
        <v>99</v>
      </c>
      <c r="S502" t="s">
        <v>99</v>
      </c>
      <c r="T502" t="s">
        <v>99</v>
      </c>
      <c r="U502" t="s">
        <v>99</v>
      </c>
      <c r="V502" t="s">
        <v>99</v>
      </c>
      <c r="W502" t="s">
        <v>99</v>
      </c>
      <c r="X502" t="s">
        <v>99</v>
      </c>
      <c r="Y502" t="s">
        <v>99</v>
      </c>
      <c r="Z502" t="s">
        <v>99</v>
      </c>
    </row>
    <row r="503" spans="1:26">
      <c r="A503" t="s">
        <v>5640</v>
      </c>
      <c r="B503" t="s">
        <v>94</v>
      </c>
      <c r="C503">
        <v>2020</v>
      </c>
      <c r="D503" t="s">
        <v>981</v>
      </c>
      <c r="E503" t="s">
        <v>982</v>
      </c>
      <c r="F503" t="s">
        <v>983</v>
      </c>
      <c r="G503" t="s">
        <v>99</v>
      </c>
      <c r="H503" t="s">
        <v>99</v>
      </c>
      <c r="I503" t="s">
        <v>984</v>
      </c>
      <c r="J503" t="s">
        <v>99</v>
      </c>
      <c r="K503" t="s">
        <v>176</v>
      </c>
      <c r="L503" s="13">
        <v>44887.363807870373</v>
      </c>
      <c r="M503" s="13">
        <v>44887.363807870373</v>
      </c>
      <c r="N503" s="13"/>
      <c r="O503" t="s">
        <v>682</v>
      </c>
      <c r="P503" t="s">
        <v>99</v>
      </c>
      <c r="Q503" t="s">
        <v>99</v>
      </c>
      <c r="R503" t="s">
        <v>99</v>
      </c>
      <c r="S503" t="s">
        <v>99</v>
      </c>
      <c r="T503" t="s">
        <v>99</v>
      </c>
      <c r="U503" t="s">
        <v>99</v>
      </c>
      <c r="V503" t="s">
        <v>99</v>
      </c>
      <c r="W503" t="s">
        <v>99</v>
      </c>
      <c r="X503" t="s">
        <v>99</v>
      </c>
      <c r="Y503" t="s">
        <v>99</v>
      </c>
      <c r="Z503" t="s">
        <v>99</v>
      </c>
    </row>
    <row r="504" spans="1:26">
      <c r="A504" t="s">
        <v>5641</v>
      </c>
      <c r="B504" t="s">
        <v>135</v>
      </c>
      <c r="C504">
        <v>2022</v>
      </c>
      <c r="D504" t="s">
        <v>977</v>
      </c>
      <c r="E504" t="s">
        <v>978</v>
      </c>
      <c r="F504" t="s">
        <v>829</v>
      </c>
      <c r="G504" t="s">
        <v>99</v>
      </c>
      <c r="H504" t="s">
        <v>99</v>
      </c>
      <c r="I504" t="s">
        <v>979</v>
      </c>
      <c r="J504" t="s">
        <v>99</v>
      </c>
      <c r="K504" t="s">
        <v>123</v>
      </c>
      <c r="L504" s="13">
        <v>44887.363807870373</v>
      </c>
      <c r="M504" s="13">
        <v>44887.363807870373</v>
      </c>
      <c r="N504" s="13"/>
      <c r="O504" t="s">
        <v>980</v>
      </c>
      <c r="P504" t="s">
        <v>236</v>
      </c>
      <c r="Q504" t="s">
        <v>4558</v>
      </c>
      <c r="R504" t="s">
        <v>99</v>
      </c>
      <c r="S504" t="s">
        <v>99</v>
      </c>
      <c r="T504" t="s">
        <v>99</v>
      </c>
      <c r="U504" t="s">
        <v>99</v>
      </c>
      <c r="V504" t="s">
        <v>99</v>
      </c>
      <c r="W504" t="s">
        <v>99</v>
      </c>
      <c r="X504" t="s">
        <v>99</v>
      </c>
      <c r="Y504" t="s">
        <v>99</v>
      </c>
      <c r="Z504" t="s">
        <v>99</v>
      </c>
    </row>
    <row r="505" spans="1:26">
      <c r="A505" t="s">
        <v>5642</v>
      </c>
      <c r="B505" t="s">
        <v>94</v>
      </c>
      <c r="C505">
        <v>2021</v>
      </c>
      <c r="D505" t="s">
        <v>972</v>
      </c>
      <c r="E505" t="s">
        <v>973</v>
      </c>
      <c r="F505" t="s">
        <v>974</v>
      </c>
      <c r="G505" t="s">
        <v>99</v>
      </c>
      <c r="H505" t="s">
        <v>99</v>
      </c>
      <c r="I505" t="s">
        <v>975</v>
      </c>
      <c r="J505" t="s">
        <v>99</v>
      </c>
      <c r="K505" t="s">
        <v>113</v>
      </c>
      <c r="L505" s="13">
        <v>44887.363807870373</v>
      </c>
      <c r="M505" s="13">
        <v>44887.363807870373</v>
      </c>
      <c r="N505" s="13"/>
      <c r="O505" t="s">
        <v>976</v>
      </c>
      <c r="P505" t="s">
        <v>99</v>
      </c>
      <c r="Q505" t="s">
        <v>99</v>
      </c>
      <c r="R505" t="s">
        <v>99</v>
      </c>
      <c r="S505" t="s">
        <v>99</v>
      </c>
      <c r="T505" t="s">
        <v>99</v>
      </c>
      <c r="U505" t="s">
        <v>99</v>
      </c>
      <c r="V505" t="s">
        <v>99</v>
      </c>
      <c r="W505" t="s">
        <v>99</v>
      </c>
      <c r="X505" t="s">
        <v>99</v>
      </c>
      <c r="Y505" t="s">
        <v>99</v>
      </c>
      <c r="Z505" t="s">
        <v>99</v>
      </c>
    </row>
    <row r="506" spans="1:26">
      <c r="A506" t="s">
        <v>5643</v>
      </c>
      <c r="B506" t="s">
        <v>135</v>
      </c>
      <c r="C506">
        <v>2010</v>
      </c>
      <c r="D506" t="s">
        <v>962</v>
      </c>
      <c r="E506" t="s">
        <v>963</v>
      </c>
      <c r="F506" t="s">
        <v>964</v>
      </c>
      <c r="G506" t="s">
        <v>99</v>
      </c>
      <c r="H506" t="s">
        <v>99</v>
      </c>
      <c r="I506" t="s">
        <v>965</v>
      </c>
      <c r="J506" t="s">
        <v>99</v>
      </c>
      <c r="K506" t="s">
        <v>130</v>
      </c>
      <c r="L506" s="13">
        <v>44887.363807870373</v>
      </c>
      <c r="M506" s="13">
        <v>44887.363807870373</v>
      </c>
      <c r="N506" s="13"/>
      <c r="O506" t="s">
        <v>966</v>
      </c>
      <c r="P506" t="s">
        <v>557</v>
      </c>
      <c r="Q506" t="s">
        <v>363</v>
      </c>
      <c r="R506" t="s">
        <v>99</v>
      </c>
      <c r="S506" t="s">
        <v>99</v>
      </c>
      <c r="T506" t="s">
        <v>99</v>
      </c>
      <c r="U506" t="s">
        <v>99</v>
      </c>
      <c r="V506" t="s">
        <v>99</v>
      </c>
      <c r="W506" t="s">
        <v>99</v>
      </c>
      <c r="X506" t="s">
        <v>99</v>
      </c>
      <c r="Y506" t="s">
        <v>99</v>
      </c>
      <c r="Z506" t="s">
        <v>99</v>
      </c>
    </row>
    <row r="507" spans="1:26">
      <c r="A507" t="s">
        <v>5644</v>
      </c>
      <c r="B507" t="s">
        <v>94</v>
      </c>
      <c r="C507">
        <v>2021</v>
      </c>
      <c r="D507" t="s">
        <v>942</v>
      </c>
      <c r="E507" t="s">
        <v>943</v>
      </c>
      <c r="F507" t="s">
        <v>944</v>
      </c>
      <c r="G507" t="s">
        <v>99</v>
      </c>
      <c r="H507" t="s">
        <v>99</v>
      </c>
      <c r="I507" t="s">
        <v>945</v>
      </c>
      <c r="J507" t="s">
        <v>99</v>
      </c>
      <c r="K507" t="s">
        <v>113</v>
      </c>
      <c r="L507" s="13">
        <v>44887.363807870373</v>
      </c>
      <c r="M507" s="13">
        <v>44887.363807870373</v>
      </c>
      <c r="N507" s="13"/>
      <c r="O507" t="s">
        <v>946</v>
      </c>
      <c r="P507" t="s">
        <v>99</v>
      </c>
      <c r="Q507" t="s">
        <v>99</v>
      </c>
      <c r="R507" t="s">
        <v>99</v>
      </c>
      <c r="S507" t="s">
        <v>99</v>
      </c>
      <c r="T507" t="s">
        <v>99</v>
      </c>
      <c r="U507" t="s">
        <v>99</v>
      </c>
      <c r="V507" t="s">
        <v>99</v>
      </c>
      <c r="W507" t="s">
        <v>99</v>
      </c>
      <c r="X507" t="s">
        <v>99</v>
      </c>
      <c r="Y507" t="s">
        <v>99</v>
      </c>
      <c r="Z507" t="s">
        <v>99</v>
      </c>
    </row>
    <row r="508" spans="1:26">
      <c r="A508" t="s">
        <v>5645</v>
      </c>
      <c r="B508" t="s">
        <v>135</v>
      </c>
      <c r="C508">
        <v>2019</v>
      </c>
      <c r="D508" t="s">
        <v>936</v>
      </c>
      <c r="E508" t="s">
        <v>937</v>
      </c>
      <c r="F508" t="s">
        <v>938</v>
      </c>
      <c r="G508" t="s">
        <v>99</v>
      </c>
      <c r="H508" t="s">
        <v>99</v>
      </c>
      <c r="I508" t="s">
        <v>939</v>
      </c>
      <c r="J508" t="s">
        <v>99</v>
      </c>
      <c r="K508" t="s">
        <v>271</v>
      </c>
      <c r="L508" s="13">
        <v>44887.363807870373</v>
      </c>
      <c r="M508" s="13">
        <v>44887.363807870373</v>
      </c>
      <c r="N508" s="13"/>
      <c r="O508" t="s">
        <v>940</v>
      </c>
      <c r="P508" t="s">
        <v>941</v>
      </c>
      <c r="Q508" t="s">
        <v>4558</v>
      </c>
      <c r="R508" t="s">
        <v>99</v>
      </c>
      <c r="S508" t="s">
        <v>99</v>
      </c>
      <c r="T508" t="s">
        <v>99</v>
      </c>
      <c r="U508" t="s">
        <v>99</v>
      </c>
      <c r="V508" t="s">
        <v>99</v>
      </c>
      <c r="W508" t="s">
        <v>99</v>
      </c>
      <c r="X508" t="s">
        <v>99</v>
      </c>
      <c r="Y508" t="s">
        <v>99</v>
      </c>
      <c r="Z508" t="s">
        <v>99</v>
      </c>
    </row>
    <row r="509" spans="1:26">
      <c r="A509" t="s">
        <v>5646</v>
      </c>
      <c r="B509" t="s">
        <v>94</v>
      </c>
      <c r="C509">
        <v>2014</v>
      </c>
      <c r="D509" t="s">
        <v>932</v>
      </c>
      <c r="E509" t="s">
        <v>933</v>
      </c>
      <c r="F509" t="s">
        <v>934</v>
      </c>
      <c r="G509" t="s">
        <v>99</v>
      </c>
      <c r="H509" t="s">
        <v>99</v>
      </c>
      <c r="I509" t="s">
        <v>935</v>
      </c>
      <c r="J509" t="s">
        <v>99</v>
      </c>
      <c r="K509" t="s">
        <v>400</v>
      </c>
      <c r="L509" s="13">
        <v>44887.363807870373</v>
      </c>
      <c r="M509" s="13">
        <v>44887.363807870373</v>
      </c>
      <c r="N509" s="13"/>
      <c r="O509" t="s">
        <v>672</v>
      </c>
      <c r="P509" t="s">
        <v>99</v>
      </c>
      <c r="Q509" t="s">
        <v>99</v>
      </c>
      <c r="R509" t="s">
        <v>99</v>
      </c>
      <c r="S509" t="s">
        <v>99</v>
      </c>
      <c r="T509" t="s">
        <v>99</v>
      </c>
      <c r="U509" t="s">
        <v>99</v>
      </c>
      <c r="V509" t="s">
        <v>99</v>
      </c>
      <c r="W509" t="s">
        <v>99</v>
      </c>
      <c r="X509" t="s">
        <v>99</v>
      </c>
      <c r="Y509" t="s">
        <v>99</v>
      </c>
      <c r="Z509" t="s">
        <v>99</v>
      </c>
    </row>
    <row r="510" spans="1:26">
      <c r="A510" t="s">
        <v>5647</v>
      </c>
      <c r="B510" t="s">
        <v>94</v>
      </c>
      <c r="C510">
        <v>2013</v>
      </c>
      <c r="D510" t="s">
        <v>985</v>
      </c>
      <c r="E510" t="s">
        <v>986</v>
      </c>
      <c r="F510" t="s">
        <v>987</v>
      </c>
      <c r="G510" t="s">
        <v>99</v>
      </c>
      <c r="H510" t="s">
        <v>99</v>
      </c>
      <c r="I510" t="s">
        <v>988</v>
      </c>
      <c r="J510" t="s">
        <v>99</v>
      </c>
      <c r="K510" t="s">
        <v>139</v>
      </c>
      <c r="L510" s="13">
        <v>44887.363807870373</v>
      </c>
      <c r="M510" s="13">
        <v>44887.363807870373</v>
      </c>
      <c r="N510" s="13"/>
      <c r="O510" t="s">
        <v>989</v>
      </c>
      <c r="P510" t="s">
        <v>99</v>
      </c>
      <c r="Q510" t="s">
        <v>99</v>
      </c>
      <c r="R510" t="s">
        <v>99</v>
      </c>
      <c r="S510" t="s">
        <v>99</v>
      </c>
      <c r="T510" t="s">
        <v>99</v>
      </c>
      <c r="U510" t="s">
        <v>99</v>
      </c>
      <c r="V510" t="s">
        <v>99</v>
      </c>
      <c r="W510" t="s">
        <v>99</v>
      </c>
      <c r="X510" t="s">
        <v>99</v>
      </c>
      <c r="Y510" t="s">
        <v>99</v>
      </c>
      <c r="Z510" t="s">
        <v>99</v>
      </c>
    </row>
    <row r="511" spans="1:26">
      <c r="A511" t="s">
        <v>5648</v>
      </c>
      <c r="B511" t="s">
        <v>135</v>
      </c>
      <c r="C511">
        <v>2022</v>
      </c>
      <c r="D511" t="s">
        <v>957</v>
      </c>
      <c r="E511" t="s">
        <v>958</v>
      </c>
      <c r="F511" t="s">
        <v>959</v>
      </c>
      <c r="G511" t="s">
        <v>99</v>
      </c>
      <c r="H511" t="s">
        <v>99</v>
      </c>
      <c r="I511" t="s">
        <v>960</v>
      </c>
      <c r="J511" t="s">
        <v>99</v>
      </c>
      <c r="K511" t="s">
        <v>123</v>
      </c>
      <c r="L511" s="13">
        <v>44887.363807870373</v>
      </c>
      <c r="M511" s="13">
        <v>44887.363807870373</v>
      </c>
      <c r="N511" s="13"/>
      <c r="O511" t="s">
        <v>961</v>
      </c>
      <c r="P511" t="s">
        <v>288</v>
      </c>
      <c r="Q511" t="s">
        <v>5423</v>
      </c>
      <c r="R511" t="s">
        <v>99</v>
      </c>
      <c r="S511" t="s">
        <v>99</v>
      </c>
      <c r="T511" t="s">
        <v>99</v>
      </c>
      <c r="U511" t="s">
        <v>99</v>
      </c>
      <c r="V511" t="s">
        <v>99</v>
      </c>
      <c r="W511" t="s">
        <v>99</v>
      </c>
      <c r="X511" t="s">
        <v>99</v>
      </c>
      <c r="Y511" t="s">
        <v>99</v>
      </c>
      <c r="Z511" t="s">
        <v>99</v>
      </c>
    </row>
    <row r="512" spans="1:26">
      <c r="A512" t="s">
        <v>5649</v>
      </c>
      <c r="B512" t="s">
        <v>94</v>
      </c>
      <c r="C512">
        <v>2017</v>
      </c>
      <c r="D512" t="s">
        <v>947</v>
      </c>
      <c r="E512" t="s">
        <v>948</v>
      </c>
      <c r="F512" t="s">
        <v>949</v>
      </c>
      <c r="G512" t="s">
        <v>99</v>
      </c>
      <c r="H512" t="s">
        <v>99</v>
      </c>
      <c r="I512" t="s">
        <v>950</v>
      </c>
      <c r="J512" t="s">
        <v>99</v>
      </c>
      <c r="K512" t="s">
        <v>156</v>
      </c>
      <c r="L512" s="13">
        <v>44887.363807870373</v>
      </c>
      <c r="M512" s="13">
        <v>44887.363807870373</v>
      </c>
      <c r="N512" s="13"/>
      <c r="O512" t="s">
        <v>951</v>
      </c>
      <c r="P512" t="s">
        <v>99</v>
      </c>
      <c r="Q512" t="s">
        <v>99</v>
      </c>
      <c r="R512" t="s">
        <v>99</v>
      </c>
      <c r="S512" t="s">
        <v>99</v>
      </c>
      <c r="T512" t="s">
        <v>99</v>
      </c>
      <c r="U512" t="s">
        <v>99</v>
      </c>
      <c r="V512" t="s">
        <v>99</v>
      </c>
      <c r="W512" t="s">
        <v>99</v>
      </c>
      <c r="X512" t="s">
        <v>99</v>
      </c>
      <c r="Y512" t="s">
        <v>99</v>
      </c>
      <c r="Z512" t="s">
        <v>99</v>
      </c>
    </row>
    <row r="513" spans="1:26">
      <c r="A513" t="s">
        <v>5650</v>
      </c>
      <c r="B513" t="s">
        <v>94</v>
      </c>
      <c r="C513">
        <v>2022</v>
      </c>
      <c r="D513" t="s">
        <v>927</v>
      </c>
      <c r="E513" t="s">
        <v>928</v>
      </c>
      <c r="F513" t="s">
        <v>929</v>
      </c>
      <c r="G513" t="s">
        <v>99</v>
      </c>
      <c r="H513" t="s">
        <v>99</v>
      </c>
      <c r="I513" t="s">
        <v>930</v>
      </c>
      <c r="J513" t="s">
        <v>99</v>
      </c>
      <c r="K513" t="s">
        <v>123</v>
      </c>
      <c r="L513" s="13">
        <v>44887.363807870373</v>
      </c>
      <c r="M513" s="13">
        <v>44887.363807870373</v>
      </c>
      <c r="N513" s="13"/>
      <c r="O513" t="s">
        <v>931</v>
      </c>
      <c r="P513" t="s">
        <v>99</v>
      </c>
      <c r="Q513" t="s">
        <v>99</v>
      </c>
      <c r="R513" t="s">
        <v>99</v>
      </c>
      <c r="S513" t="s">
        <v>99</v>
      </c>
      <c r="T513" t="s">
        <v>99</v>
      </c>
      <c r="U513" t="s">
        <v>99</v>
      </c>
      <c r="V513" t="s">
        <v>99</v>
      </c>
      <c r="W513" t="s">
        <v>99</v>
      </c>
      <c r="X513" t="s">
        <v>99</v>
      </c>
      <c r="Y513" t="s">
        <v>99</v>
      </c>
      <c r="Z513" t="s">
        <v>99</v>
      </c>
    </row>
    <row r="514" spans="1:26">
      <c r="A514" t="s">
        <v>5651</v>
      </c>
      <c r="B514" t="s">
        <v>94</v>
      </c>
      <c r="C514">
        <v>2019</v>
      </c>
      <c r="D514" t="s">
        <v>924</v>
      </c>
      <c r="E514" t="s">
        <v>925</v>
      </c>
      <c r="F514" t="s">
        <v>926</v>
      </c>
      <c r="G514" t="s">
        <v>99</v>
      </c>
      <c r="H514" t="s">
        <v>99</v>
      </c>
      <c r="I514" t="s">
        <v>99</v>
      </c>
      <c r="J514" t="s">
        <v>99</v>
      </c>
      <c r="K514" t="s">
        <v>271</v>
      </c>
      <c r="L514" s="13">
        <v>44887.363807870373</v>
      </c>
      <c r="M514" s="13">
        <v>44887.363807870373</v>
      </c>
      <c r="N514" s="13"/>
      <c r="O514" t="s">
        <v>672</v>
      </c>
      <c r="P514" t="s">
        <v>99</v>
      </c>
      <c r="Q514" t="s">
        <v>99</v>
      </c>
      <c r="R514" t="s">
        <v>99</v>
      </c>
      <c r="S514" t="s">
        <v>99</v>
      </c>
      <c r="T514" t="s">
        <v>99</v>
      </c>
      <c r="U514" t="s">
        <v>99</v>
      </c>
      <c r="V514" t="s">
        <v>99</v>
      </c>
      <c r="W514" t="s">
        <v>99</v>
      </c>
      <c r="X514" t="s">
        <v>99</v>
      </c>
      <c r="Y514" t="s">
        <v>99</v>
      </c>
      <c r="Z514" t="s">
        <v>99</v>
      </c>
    </row>
    <row r="515" spans="1:26">
      <c r="A515" t="s">
        <v>5652</v>
      </c>
      <c r="B515" t="s">
        <v>94</v>
      </c>
      <c r="C515">
        <v>2013</v>
      </c>
      <c r="D515" t="s">
        <v>919</v>
      </c>
      <c r="E515" t="s">
        <v>920</v>
      </c>
      <c r="F515" t="s">
        <v>921</v>
      </c>
      <c r="G515" t="s">
        <v>99</v>
      </c>
      <c r="H515" t="s">
        <v>99</v>
      </c>
      <c r="I515" t="s">
        <v>922</v>
      </c>
      <c r="J515" t="s">
        <v>99</v>
      </c>
      <c r="K515" t="s">
        <v>139</v>
      </c>
      <c r="L515" s="13">
        <v>44887.363807870373</v>
      </c>
      <c r="M515" s="13">
        <v>44887.363807870373</v>
      </c>
      <c r="N515" s="13"/>
      <c r="O515" t="s">
        <v>923</v>
      </c>
      <c r="P515" t="s">
        <v>99</v>
      </c>
      <c r="Q515" t="s">
        <v>99</v>
      </c>
      <c r="R515" t="s">
        <v>99</v>
      </c>
      <c r="S515" t="s">
        <v>99</v>
      </c>
      <c r="T515" t="s">
        <v>99</v>
      </c>
      <c r="U515" t="s">
        <v>99</v>
      </c>
      <c r="V515" t="s">
        <v>99</v>
      </c>
      <c r="W515" t="s">
        <v>99</v>
      </c>
      <c r="X515" t="s">
        <v>99</v>
      </c>
      <c r="Y515" t="s">
        <v>99</v>
      </c>
      <c r="Z515" t="s">
        <v>99</v>
      </c>
    </row>
    <row r="516" spans="1:26">
      <c r="A516" t="s">
        <v>5653</v>
      </c>
      <c r="B516" t="s">
        <v>94</v>
      </c>
      <c r="C516">
        <v>2020</v>
      </c>
      <c r="D516" t="s">
        <v>914</v>
      </c>
      <c r="E516" t="s">
        <v>915</v>
      </c>
      <c r="F516" t="s">
        <v>916</v>
      </c>
      <c r="G516" t="s">
        <v>99</v>
      </c>
      <c r="H516" t="s">
        <v>99</v>
      </c>
      <c r="I516" t="s">
        <v>917</v>
      </c>
      <c r="J516" t="s">
        <v>99</v>
      </c>
      <c r="K516" t="s">
        <v>176</v>
      </c>
      <c r="L516" s="13">
        <v>44887.363807870373</v>
      </c>
      <c r="M516" s="13">
        <v>44887.363807870373</v>
      </c>
      <c r="N516" s="13"/>
      <c r="O516" t="s">
        <v>918</v>
      </c>
      <c r="P516" t="s">
        <v>99</v>
      </c>
      <c r="Q516" t="s">
        <v>99</v>
      </c>
      <c r="R516" t="s">
        <v>99</v>
      </c>
      <c r="S516" t="s">
        <v>99</v>
      </c>
      <c r="T516" t="s">
        <v>99</v>
      </c>
      <c r="U516" t="s">
        <v>99</v>
      </c>
      <c r="V516" t="s">
        <v>99</v>
      </c>
      <c r="W516" t="s">
        <v>99</v>
      </c>
      <c r="X516" t="s">
        <v>99</v>
      </c>
      <c r="Y516" t="s">
        <v>99</v>
      </c>
      <c r="Z516" t="s">
        <v>99</v>
      </c>
    </row>
    <row r="517" spans="1:26">
      <c r="A517" t="s">
        <v>5654</v>
      </c>
      <c r="B517" t="s">
        <v>94</v>
      </c>
      <c r="C517">
        <v>2019</v>
      </c>
      <c r="D517" t="s">
        <v>904</v>
      </c>
      <c r="E517" t="s">
        <v>905</v>
      </c>
      <c r="F517" t="s">
        <v>906</v>
      </c>
      <c r="G517" t="s">
        <v>99</v>
      </c>
      <c r="H517" t="s">
        <v>99</v>
      </c>
      <c r="I517" t="s">
        <v>907</v>
      </c>
      <c r="J517" t="s">
        <v>99</v>
      </c>
      <c r="K517" t="s">
        <v>271</v>
      </c>
      <c r="L517" s="13">
        <v>44887.363807870373</v>
      </c>
      <c r="M517" s="13">
        <v>44887.363807870373</v>
      </c>
      <c r="N517" s="13"/>
      <c r="O517" t="s">
        <v>908</v>
      </c>
      <c r="P517" t="s">
        <v>99</v>
      </c>
      <c r="Q517" t="s">
        <v>99</v>
      </c>
      <c r="R517" t="s">
        <v>99</v>
      </c>
      <c r="S517" t="s">
        <v>99</v>
      </c>
      <c r="T517" t="s">
        <v>99</v>
      </c>
      <c r="U517" t="s">
        <v>99</v>
      </c>
      <c r="V517" t="s">
        <v>99</v>
      </c>
      <c r="W517" t="s">
        <v>99</v>
      </c>
      <c r="X517" t="s">
        <v>99</v>
      </c>
      <c r="Y517" t="s">
        <v>99</v>
      </c>
      <c r="Z517" t="s">
        <v>99</v>
      </c>
    </row>
    <row r="518" spans="1:26">
      <c r="A518" t="s">
        <v>5655</v>
      </c>
      <c r="B518" t="s">
        <v>135</v>
      </c>
      <c r="C518">
        <v>2017</v>
      </c>
      <c r="D518" t="s">
        <v>99</v>
      </c>
      <c r="E518" t="s">
        <v>900</v>
      </c>
      <c r="F518" t="s">
        <v>901</v>
      </c>
      <c r="G518" t="s">
        <v>99</v>
      </c>
      <c r="H518" t="s">
        <v>99</v>
      </c>
      <c r="I518" t="s">
        <v>902</v>
      </c>
      <c r="J518" t="s">
        <v>99</v>
      </c>
      <c r="K518" t="s">
        <v>156</v>
      </c>
      <c r="L518" s="13">
        <v>44887.363807870373</v>
      </c>
      <c r="M518" s="13">
        <v>44887.363807870373</v>
      </c>
      <c r="N518" s="13"/>
      <c r="O518" t="s">
        <v>903</v>
      </c>
      <c r="P518" t="s">
        <v>288</v>
      </c>
      <c r="Q518" t="s">
        <v>182</v>
      </c>
      <c r="R518" t="s">
        <v>99</v>
      </c>
      <c r="S518" t="s">
        <v>99</v>
      </c>
      <c r="T518" t="s">
        <v>99</v>
      </c>
      <c r="U518" t="s">
        <v>99</v>
      </c>
      <c r="V518" t="s">
        <v>99</v>
      </c>
      <c r="W518" t="s">
        <v>99</v>
      </c>
      <c r="X518" t="s">
        <v>99</v>
      </c>
      <c r="Y518" t="s">
        <v>99</v>
      </c>
      <c r="Z518" t="s">
        <v>99</v>
      </c>
    </row>
    <row r="519" spans="1:26">
      <c r="A519" t="s">
        <v>5656</v>
      </c>
      <c r="B519" t="s">
        <v>94</v>
      </c>
      <c r="C519">
        <v>2021</v>
      </c>
      <c r="D519" t="s">
        <v>895</v>
      </c>
      <c r="E519" t="s">
        <v>896</v>
      </c>
      <c r="F519" t="s">
        <v>897</v>
      </c>
      <c r="G519" t="s">
        <v>99</v>
      </c>
      <c r="H519" t="s">
        <v>99</v>
      </c>
      <c r="I519" t="s">
        <v>898</v>
      </c>
      <c r="J519" t="s">
        <v>99</v>
      </c>
      <c r="K519" t="s">
        <v>113</v>
      </c>
      <c r="L519" s="13">
        <v>44887.363807870373</v>
      </c>
      <c r="M519" s="13">
        <v>44887.363807870373</v>
      </c>
      <c r="N519" s="13"/>
      <c r="O519" t="s">
        <v>899</v>
      </c>
      <c r="P519" t="s">
        <v>99</v>
      </c>
      <c r="Q519" t="s">
        <v>99</v>
      </c>
      <c r="R519" t="s">
        <v>99</v>
      </c>
      <c r="S519" t="s">
        <v>99</v>
      </c>
      <c r="T519" t="s">
        <v>99</v>
      </c>
      <c r="U519" t="s">
        <v>99</v>
      </c>
      <c r="V519" t="s">
        <v>99</v>
      </c>
      <c r="W519" t="s">
        <v>99</v>
      </c>
      <c r="X519" t="s">
        <v>99</v>
      </c>
      <c r="Y519" t="s">
        <v>99</v>
      </c>
      <c r="Z519" t="s">
        <v>99</v>
      </c>
    </row>
    <row r="520" spans="1:26">
      <c r="A520" t="s">
        <v>5657</v>
      </c>
      <c r="B520" t="s">
        <v>94</v>
      </c>
      <c r="C520">
        <v>2019</v>
      </c>
      <c r="D520" t="s">
        <v>890</v>
      </c>
      <c r="E520" t="s">
        <v>891</v>
      </c>
      <c r="F520" t="s">
        <v>892</v>
      </c>
      <c r="G520" t="s">
        <v>99</v>
      </c>
      <c r="H520" t="s">
        <v>99</v>
      </c>
      <c r="I520" t="s">
        <v>893</v>
      </c>
      <c r="J520" t="s">
        <v>99</v>
      </c>
      <c r="K520" t="s">
        <v>271</v>
      </c>
      <c r="L520" s="13">
        <v>44887.363807870373</v>
      </c>
      <c r="M520" s="13">
        <v>44887.363807870373</v>
      </c>
      <c r="N520" s="13"/>
      <c r="O520" t="s">
        <v>894</v>
      </c>
      <c r="P520" t="s">
        <v>99</v>
      </c>
      <c r="Q520" t="s">
        <v>99</v>
      </c>
      <c r="R520" t="s">
        <v>99</v>
      </c>
      <c r="S520" t="s">
        <v>99</v>
      </c>
      <c r="T520" t="s">
        <v>99</v>
      </c>
      <c r="U520" t="s">
        <v>99</v>
      </c>
      <c r="V520" t="s">
        <v>99</v>
      </c>
      <c r="W520" t="s">
        <v>99</v>
      </c>
      <c r="X520" t="s">
        <v>99</v>
      </c>
      <c r="Y520" t="s">
        <v>99</v>
      </c>
      <c r="Z520" t="s">
        <v>99</v>
      </c>
    </row>
    <row r="521" spans="1:26">
      <c r="A521" t="s">
        <v>5658</v>
      </c>
      <c r="B521" t="s">
        <v>94</v>
      </c>
      <c r="C521">
        <v>2020</v>
      </c>
      <c r="D521" t="s">
        <v>886</v>
      </c>
      <c r="E521" t="s">
        <v>887</v>
      </c>
      <c r="F521" t="s">
        <v>888</v>
      </c>
      <c r="G521" t="s">
        <v>99</v>
      </c>
      <c r="H521" t="s">
        <v>99</v>
      </c>
      <c r="I521" t="s">
        <v>889</v>
      </c>
      <c r="J521" t="s">
        <v>99</v>
      </c>
      <c r="K521" t="s">
        <v>176</v>
      </c>
      <c r="L521" s="13">
        <v>44887.363807870373</v>
      </c>
      <c r="M521" s="13">
        <v>44887.363807870373</v>
      </c>
      <c r="N521" s="13"/>
      <c r="O521" t="s">
        <v>682</v>
      </c>
      <c r="P521" t="s">
        <v>99</v>
      </c>
      <c r="Q521" t="s">
        <v>99</v>
      </c>
      <c r="R521" t="s">
        <v>99</v>
      </c>
      <c r="S521" t="s">
        <v>99</v>
      </c>
      <c r="T521" t="s">
        <v>99</v>
      </c>
      <c r="U521" t="s">
        <v>99</v>
      </c>
      <c r="V521" t="s">
        <v>99</v>
      </c>
      <c r="W521" t="s">
        <v>99</v>
      </c>
      <c r="X521" t="s">
        <v>99</v>
      </c>
      <c r="Y521" t="s">
        <v>99</v>
      </c>
      <c r="Z521" t="s">
        <v>99</v>
      </c>
    </row>
    <row r="522" spans="1:26">
      <c r="A522" t="s">
        <v>5659</v>
      </c>
      <c r="B522" t="s">
        <v>94</v>
      </c>
      <c r="C522">
        <v>2010</v>
      </c>
      <c r="D522" t="s">
        <v>881</v>
      </c>
      <c r="E522" t="s">
        <v>882</v>
      </c>
      <c r="F522" t="s">
        <v>883</v>
      </c>
      <c r="G522" t="s">
        <v>99</v>
      </c>
      <c r="H522" t="s">
        <v>99</v>
      </c>
      <c r="I522" t="s">
        <v>884</v>
      </c>
      <c r="J522" t="s">
        <v>99</v>
      </c>
      <c r="K522" t="s">
        <v>130</v>
      </c>
      <c r="L522" s="13">
        <v>44887.363807870373</v>
      </c>
      <c r="M522" s="13">
        <v>44887.363807870373</v>
      </c>
      <c r="N522" s="13"/>
      <c r="O522" t="s">
        <v>885</v>
      </c>
      <c r="P522" t="s">
        <v>99</v>
      </c>
      <c r="Q522" t="s">
        <v>99</v>
      </c>
      <c r="R522" t="s">
        <v>99</v>
      </c>
      <c r="S522" t="s">
        <v>99</v>
      </c>
      <c r="T522" t="s">
        <v>99</v>
      </c>
      <c r="U522" t="s">
        <v>99</v>
      </c>
      <c r="V522" t="s">
        <v>99</v>
      </c>
      <c r="W522" t="s">
        <v>99</v>
      </c>
      <c r="X522" t="s">
        <v>99</v>
      </c>
      <c r="Y522" t="s">
        <v>99</v>
      </c>
      <c r="Z522" t="s">
        <v>99</v>
      </c>
    </row>
    <row r="523" spans="1:26">
      <c r="A523" t="s">
        <v>5660</v>
      </c>
      <c r="B523" t="s">
        <v>94</v>
      </c>
      <c r="C523">
        <v>2022</v>
      </c>
      <c r="D523" t="s">
        <v>876</v>
      </c>
      <c r="E523" t="s">
        <v>877</v>
      </c>
      <c r="F523" t="s">
        <v>878</v>
      </c>
      <c r="G523" t="s">
        <v>99</v>
      </c>
      <c r="H523" t="s">
        <v>99</v>
      </c>
      <c r="I523" t="s">
        <v>879</v>
      </c>
      <c r="J523" t="s">
        <v>99</v>
      </c>
      <c r="K523" t="s">
        <v>123</v>
      </c>
      <c r="L523" s="13">
        <v>44887.363807870373</v>
      </c>
      <c r="M523" s="13">
        <v>44887.363807870373</v>
      </c>
      <c r="N523" s="13"/>
      <c r="O523" t="s">
        <v>880</v>
      </c>
      <c r="P523" t="s">
        <v>99</v>
      </c>
      <c r="Q523" t="s">
        <v>99</v>
      </c>
      <c r="R523" t="s">
        <v>99</v>
      </c>
      <c r="S523" t="s">
        <v>99</v>
      </c>
      <c r="T523" t="s">
        <v>99</v>
      </c>
      <c r="U523" t="s">
        <v>99</v>
      </c>
      <c r="V523" t="s">
        <v>99</v>
      </c>
      <c r="W523" t="s">
        <v>99</v>
      </c>
      <c r="X523" t="s">
        <v>99</v>
      </c>
      <c r="Y523" t="s">
        <v>99</v>
      </c>
      <c r="Z523" t="s">
        <v>99</v>
      </c>
    </row>
    <row r="524" spans="1:26">
      <c r="A524" t="s">
        <v>5661</v>
      </c>
      <c r="B524" t="s">
        <v>94</v>
      </c>
      <c r="C524">
        <v>2022</v>
      </c>
      <c r="D524" t="s">
        <v>201</v>
      </c>
      <c r="E524" t="s">
        <v>202</v>
      </c>
      <c r="F524" t="s">
        <v>203</v>
      </c>
      <c r="G524" t="s">
        <v>204</v>
      </c>
      <c r="H524" t="s">
        <v>99</v>
      </c>
      <c r="I524" t="s">
        <v>205</v>
      </c>
      <c r="J524" t="s">
        <v>206</v>
      </c>
      <c r="K524" t="s">
        <v>123</v>
      </c>
      <c r="L524" s="13">
        <v>44887.363807870373</v>
      </c>
      <c r="M524" s="13">
        <v>44887.412187499998</v>
      </c>
      <c r="N524" s="13"/>
      <c r="O524" t="s">
        <v>207</v>
      </c>
      <c r="P524" t="s">
        <v>99</v>
      </c>
      <c r="Q524" t="s">
        <v>99</v>
      </c>
      <c r="R524" t="s">
        <v>99</v>
      </c>
      <c r="S524" t="s">
        <v>99</v>
      </c>
      <c r="T524" t="s">
        <v>104</v>
      </c>
      <c r="U524" t="s">
        <v>105</v>
      </c>
      <c r="V524" t="s">
        <v>99</v>
      </c>
      <c r="W524" t="s">
        <v>99</v>
      </c>
      <c r="X524" t="s">
        <v>5662</v>
      </c>
      <c r="Y524" t="s">
        <v>99</v>
      </c>
      <c r="Z524" t="s">
        <v>99</v>
      </c>
    </row>
    <row r="525" spans="1:26">
      <c r="A525" t="s">
        <v>5663</v>
      </c>
      <c r="B525" t="s">
        <v>94</v>
      </c>
      <c r="C525">
        <v>2021</v>
      </c>
      <c r="D525" t="s">
        <v>209</v>
      </c>
      <c r="E525" t="s">
        <v>210</v>
      </c>
      <c r="F525" t="s">
        <v>211</v>
      </c>
      <c r="G525" t="s">
        <v>212</v>
      </c>
      <c r="H525" t="s">
        <v>99</v>
      </c>
      <c r="I525" t="s">
        <v>213</v>
      </c>
      <c r="J525" t="s">
        <v>214</v>
      </c>
      <c r="K525" t="s">
        <v>113</v>
      </c>
      <c r="L525" s="13">
        <v>44887.363807870373</v>
      </c>
      <c r="M525" s="13">
        <v>44887.412141203706</v>
      </c>
      <c r="N525" s="13"/>
      <c r="O525" t="s">
        <v>99</v>
      </c>
      <c r="P525" t="s">
        <v>99</v>
      </c>
      <c r="Q525" t="s">
        <v>99</v>
      </c>
      <c r="R525" t="s">
        <v>99</v>
      </c>
      <c r="S525" t="s">
        <v>99</v>
      </c>
      <c r="T525" t="s">
        <v>104</v>
      </c>
      <c r="U525" t="s">
        <v>105</v>
      </c>
      <c r="V525" t="s">
        <v>99</v>
      </c>
      <c r="W525" t="s">
        <v>99</v>
      </c>
      <c r="X525" t="s">
        <v>5664</v>
      </c>
      <c r="Y525" t="s">
        <v>99</v>
      </c>
      <c r="Z525" t="s">
        <v>99</v>
      </c>
    </row>
    <row r="526" spans="1:26">
      <c r="A526" t="s">
        <v>5665</v>
      </c>
      <c r="B526" t="s">
        <v>94</v>
      </c>
      <c r="C526">
        <v>2017</v>
      </c>
      <c r="D526" t="s">
        <v>215</v>
      </c>
      <c r="E526" t="s">
        <v>216</v>
      </c>
      <c r="F526" t="s">
        <v>217</v>
      </c>
      <c r="G526" t="s">
        <v>218</v>
      </c>
      <c r="H526" t="s">
        <v>99</v>
      </c>
      <c r="I526" t="s">
        <v>219</v>
      </c>
      <c r="J526" t="s">
        <v>220</v>
      </c>
      <c r="K526" t="s">
        <v>156</v>
      </c>
      <c r="L526" s="13">
        <v>44887.363807870373</v>
      </c>
      <c r="M526" s="13">
        <v>44887.412106481483</v>
      </c>
      <c r="N526" s="13"/>
      <c r="O526" t="s">
        <v>221</v>
      </c>
      <c r="P526" t="s">
        <v>99</v>
      </c>
      <c r="Q526" t="s">
        <v>99</v>
      </c>
      <c r="R526" t="s">
        <v>99</v>
      </c>
      <c r="S526" t="s">
        <v>99</v>
      </c>
      <c r="T526" t="s">
        <v>104</v>
      </c>
      <c r="U526" t="s">
        <v>105</v>
      </c>
      <c r="V526" t="s">
        <v>99</v>
      </c>
      <c r="W526" t="s">
        <v>99</v>
      </c>
      <c r="X526" t="s">
        <v>5666</v>
      </c>
      <c r="Y526" t="s">
        <v>99</v>
      </c>
      <c r="Z526" t="s">
        <v>99</v>
      </c>
    </row>
    <row r="527" spans="1:26">
      <c r="A527" t="s">
        <v>5667</v>
      </c>
      <c r="B527" t="s">
        <v>135</v>
      </c>
      <c r="C527">
        <v>2018</v>
      </c>
      <c r="D527" t="s">
        <v>228</v>
      </c>
      <c r="E527" t="s">
        <v>229</v>
      </c>
      <c r="F527" t="s">
        <v>230</v>
      </c>
      <c r="G527" t="s">
        <v>99</v>
      </c>
      <c r="H527" t="s">
        <v>231</v>
      </c>
      <c r="I527" t="s">
        <v>232</v>
      </c>
      <c r="J527" t="s">
        <v>233</v>
      </c>
      <c r="K527" t="s">
        <v>234</v>
      </c>
      <c r="L527" s="13">
        <v>44887.363807870373</v>
      </c>
      <c r="M527" s="13">
        <v>44887.412060185183</v>
      </c>
      <c r="N527" s="13"/>
      <c r="O527" t="s">
        <v>235</v>
      </c>
      <c r="P527" t="s">
        <v>236</v>
      </c>
      <c r="Q527" t="s">
        <v>236</v>
      </c>
      <c r="R527" t="s">
        <v>99</v>
      </c>
      <c r="S527" t="s">
        <v>99</v>
      </c>
      <c r="T527" t="s">
        <v>99</v>
      </c>
      <c r="U527" t="s">
        <v>99</v>
      </c>
      <c r="V527" t="s">
        <v>99</v>
      </c>
      <c r="W527" t="s">
        <v>99</v>
      </c>
      <c r="X527" t="s">
        <v>5668</v>
      </c>
      <c r="Y527" t="s">
        <v>99</v>
      </c>
      <c r="Z527" t="s">
        <v>99</v>
      </c>
    </row>
    <row r="528" spans="1:26">
      <c r="A528" t="s">
        <v>5669</v>
      </c>
      <c r="B528" t="s">
        <v>94</v>
      </c>
      <c r="C528">
        <v>2021</v>
      </c>
      <c r="D528" t="s">
        <v>238</v>
      </c>
      <c r="E528" t="s">
        <v>239</v>
      </c>
      <c r="F528" t="s">
        <v>240</v>
      </c>
      <c r="G528" t="s">
        <v>241</v>
      </c>
      <c r="H528" t="s">
        <v>99</v>
      </c>
      <c r="I528" t="s">
        <v>242</v>
      </c>
      <c r="J528" t="s">
        <v>243</v>
      </c>
      <c r="K528" t="s">
        <v>113</v>
      </c>
      <c r="L528" s="13">
        <v>44887.363807870373</v>
      </c>
      <c r="M528" s="13">
        <v>44887.41201388889</v>
      </c>
      <c r="N528" s="13"/>
      <c r="O528" t="s">
        <v>244</v>
      </c>
      <c r="P528" t="s">
        <v>99</v>
      </c>
      <c r="Q528" t="s">
        <v>99</v>
      </c>
      <c r="R528" t="s">
        <v>99</v>
      </c>
      <c r="S528" t="s">
        <v>99</v>
      </c>
      <c r="T528" t="s">
        <v>104</v>
      </c>
      <c r="U528" t="s">
        <v>105</v>
      </c>
      <c r="V528" t="s">
        <v>99</v>
      </c>
      <c r="W528" t="s">
        <v>99</v>
      </c>
      <c r="X528" t="s">
        <v>5670</v>
      </c>
      <c r="Y528" t="s">
        <v>99</v>
      </c>
      <c r="Z528" t="s">
        <v>99</v>
      </c>
    </row>
    <row r="529" spans="1:26">
      <c r="A529" t="s">
        <v>5671</v>
      </c>
      <c r="B529" t="s">
        <v>94</v>
      </c>
      <c r="C529">
        <v>2019</v>
      </c>
      <c r="D529" t="s">
        <v>265</v>
      </c>
      <c r="E529" t="s">
        <v>266</v>
      </c>
      <c r="F529" t="s">
        <v>267</v>
      </c>
      <c r="G529" t="s">
        <v>268</v>
      </c>
      <c r="H529" t="s">
        <v>99</v>
      </c>
      <c r="I529" t="s">
        <v>269</v>
      </c>
      <c r="J529" t="s">
        <v>270</v>
      </c>
      <c r="K529" t="s">
        <v>271</v>
      </c>
      <c r="L529" s="13">
        <v>44887.363807870373</v>
      </c>
      <c r="M529" s="13">
        <v>44887.41196759259</v>
      </c>
      <c r="N529" s="13"/>
      <c r="O529" t="s">
        <v>272</v>
      </c>
      <c r="P529" t="s">
        <v>99</v>
      </c>
      <c r="Q529" t="s">
        <v>99</v>
      </c>
      <c r="R529" t="s">
        <v>99</v>
      </c>
      <c r="S529" t="s">
        <v>99</v>
      </c>
      <c r="T529" t="s">
        <v>104</v>
      </c>
      <c r="U529" t="s">
        <v>105</v>
      </c>
      <c r="V529" t="s">
        <v>99</v>
      </c>
      <c r="W529" t="s">
        <v>99</v>
      </c>
      <c r="X529" t="s">
        <v>5672</v>
      </c>
      <c r="Y529" t="s">
        <v>99</v>
      </c>
      <c r="Z529" t="s">
        <v>99</v>
      </c>
    </row>
    <row r="530" spans="1:26">
      <c r="A530" t="s">
        <v>5673</v>
      </c>
      <c r="B530" t="s">
        <v>94</v>
      </c>
      <c r="C530">
        <v>2006</v>
      </c>
      <c r="D530" t="s">
        <v>273</v>
      </c>
      <c r="E530" t="s">
        <v>274</v>
      </c>
      <c r="F530" t="s">
        <v>275</v>
      </c>
      <c r="G530" t="s">
        <v>276</v>
      </c>
      <c r="H530" t="s">
        <v>99</v>
      </c>
      <c r="I530" t="s">
        <v>277</v>
      </c>
      <c r="J530" t="s">
        <v>278</v>
      </c>
      <c r="K530" t="s">
        <v>279</v>
      </c>
      <c r="L530" s="13">
        <v>44887.363807870373</v>
      </c>
      <c r="M530" s="13">
        <v>44887.411921296298</v>
      </c>
      <c r="N530" s="13"/>
      <c r="O530" t="s">
        <v>280</v>
      </c>
      <c r="P530" t="s">
        <v>99</v>
      </c>
      <c r="Q530" t="s">
        <v>99</v>
      </c>
      <c r="R530" t="s">
        <v>99</v>
      </c>
      <c r="S530" t="s">
        <v>99</v>
      </c>
      <c r="T530" t="s">
        <v>104</v>
      </c>
      <c r="U530" t="s">
        <v>105</v>
      </c>
      <c r="V530" t="s">
        <v>99</v>
      </c>
      <c r="W530" t="s">
        <v>99</v>
      </c>
      <c r="X530" t="s">
        <v>5674</v>
      </c>
      <c r="Y530" t="s">
        <v>99</v>
      </c>
      <c r="Z530" t="s">
        <v>99</v>
      </c>
    </row>
    <row r="531" spans="1:26">
      <c r="A531" t="s">
        <v>5675</v>
      </c>
      <c r="B531" t="s">
        <v>94</v>
      </c>
      <c r="C531">
        <v>2019</v>
      </c>
      <c r="D531" t="s">
        <v>290</v>
      </c>
      <c r="E531" t="s">
        <v>291</v>
      </c>
      <c r="F531" t="s">
        <v>292</v>
      </c>
      <c r="G531" t="s">
        <v>99</v>
      </c>
      <c r="H531" t="s">
        <v>99</v>
      </c>
      <c r="I531" t="s">
        <v>293</v>
      </c>
      <c r="J531" t="s">
        <v>294</v>
      </c>
      <c r="K531" t="s">
        <v>271</v>
      </c>
      <c r="L531" s="13">
        <v>44887.363807870373</v>
      </c>
      <c r="M531" s="13">
        <v>44887.411874999998</v>
      </c>
      <c r="N531" s="13"/>
      <c r="O531" t="s">
        <v>295</v>
      </c>
      <c r="P531" t="s">
        <v>99</v>
      </c>
      <c r="Q531" t="s">
        <v>99</v>
      </c>
      <c r="R531" t="s">
        <v>99</v>
      </c>
      <c r="S531" t="s">
        <v>99</v>
      </c>
      <c r="T531" t="s">
        <v>115</v>
      </c>
      <c r="U531" t="s">
        <v>99</v>
      </c>
      <c r="V531" t="s">
        <v>99</v>
      </c>
      <c r="W531" t="s">
        <v>99</v>
      </c>
      <c r="X531" t="s">
        <v>5676</v>
      </c>
      <c r="Y531" t="s">
        <v>99</v>
      </c>
      <c r="Z531" t="s">
        <v>99</v>
      </c>
    </row>
    <row r="532" spans="1:26">
      <c r="A532" t="s">
        <v>5677</v>
      </c>
      <c r="B532" t="s">
        <v>94</v>
      </c>
      <c r="C532">
        <v>2022</v>
      </c>
      <c r="D532" t="s">
        <v>296</v>
      </c>
      <c r="E532" t="s">
        <v>297</v>
      </c>
      <c r="F532" t="s">
        <v>203</v>
      </c>
      <c r="G532" t="s">
        <v>204</v>
      </c>
      <c r="H532" t="s">
        <v>99</v>
      </c>
      <c r="I532" t="s">
        <v>298</v>
      </c>
      <c r="J532" t="s">
        <v>299</v>
      </c>
      <c r="K532" t="s">
        <v>123</v>
      </c>
      <c r="L532" s="13">
        <v>44887.363807870373</v>
      </c>
      <c r="M532" s="13">
        <v>44887.411840277775</v>
      </c>
      <c r="N532" s="13"/>
      <c r="O532" t="s">
        <v>300</v>
      </c>
      <c r="P532" t="s">
        <v>99</v>
      </c>
      <c r="Q532" t="s">
        <v>99</v>
      </c>
      <c r="R532" t="s">
        <v>99</v>
      </c>
      <c r="S532" t="s">
        <v>99</v>
      </c>
      <c r="T532" t="s">
        <v>104</v>
      </c>
      <c r="U532" t="s">
        <v>105</v>
      </c>
      <c r="V532" t="s">
        <v>99</v>
      </c>
      <c r="W532" t="s">
        <v>99</v>
      </c>
      <c r="X532" t="s">
        <v>5662</v>
      </c>
      <c r="Y532" t="s">
        <v>99</v>
      </c>
      <c r="Z532" t="s">
        <v>99</v>
      </c>
    </row>
    <row r="533" spans="1:26">
      <c r="A533" t="s">
        <v>5678</v>
      </c>
      <c r="B533" t="s">
        <v>94</v>
      </c>
      <c r="C533">
        <v>2022</v>
      </c>
      <c r="D533" t="s">
        <v>301</v>
      </c>
      <c r="E533" t="s">
        <v>302</v>
      </c>
      <c r="F533" t="s">
        <v>303</v>
      </c>
      <c r="G533" t="s">
        <v>304</v>
      </c>
      <c r="H533" t="s">
        <v>99</v>
      </c>
      <c r="I533" t="s">
        <v>305</v>
      </c>
      <c r="J533" t="s">
        <v>306</v>
      </c>
      <c r="K533" t="s">
        <v>123</v>
      </c>
      <c r="L533" s="13">
        <v>44887.363807870373</v>
      </c>
      <c r="M533" s="13">
        <v>44887.411793981482</v>
      </c>
      <c r="N533" s="13"/>
      <c r="O533" t="s">
        <v>307</v>
      </c>
      <c r="P533" t="s">
        <v>99</v>
      </c>
      <c r="Q533" t="s">
        <v>99</v>
      </c>
      <c r="R533" t="s">
        <v>99</v>
      </c>
      <c r="S533" t="s">
        <v>99</v>
      </c>
      <c r="T533" t="s">
        <v>104</v>
      </c>
      <c r="U533" t="s">
        <v>105</v>
      </c>
      <c r="V533" t="s">
        <v>99</v>
      </c>
      <c r="W533" t="s">
        <v>99</v>
      </c>
      <c r="X533" t="s">
        <v>5679</v>
      </c>
      <c r="Y533" t="s">
        <v>99</v>
      </c>
      <c r="Z533" t="s">
        <v>99</v>
      </c>
    </row>
    <row r="534" spans="1:26">
      <c r="A534" t="s">
        <v>5680</v>
      </c>
      <c r="B534" t="s">
        <v>94</v>
      </c>
      <c r="C534">
        <v>2020</v>
      </c>
      <c r="D534" t="s">
        <v>309</v>
      </c>
      <c r="E534" t="s">
        <v>310</v>
      </c>
      <c r="F534" t="s">
        <v>172</v>
      </c>
      <c r="G534" t="s">
        <v>173</v>
      </c>
      <c r="H534" t="s">
        <v>99</v>
      </c>
      <c r="I534" t="s">
        <v>311</v>
      </c>
      <c r="J534" t="s">
        <v>312</v>
      </c>
      <c r="K534" t="s">
        <v>176</v>
      </c>
      <c r="L534" s="13">
        <v>44887.363807870373</v>
      </c>
      <c r="M534" s="13">
        <v>44887.411747685182</v>
      </c>
      <c r="N534" s="13"/>
      <c r="O534" t="s">
        <v>99</v>
      </c>
      <c r="P534" t="s">
        <v>99</v>
      </c>
      <c r="Q534" t="s">
        <v>99</v>
      </c>
      <c r="R534" t="s">
        <v>99</v>
      </c>
      <c r="S534" t="s">
        <v>99</v>
      </c>
      <c r="T534" t="s">
        <v>104</v>
      </c>
      <c r="U534" t="s">
        <v>105</v>
      </c>
      <c r="V534" t="s">
        <v>99</v>
      </c>
      <c r="W534" t="s">
        <v>99</v>
      </c>
      <c r="X534" t="s">
        <v>5681</v>
      </c>
      <c r="Y534" t="s">
        <v>99</v>
      </c>
      <c r="Z534" t="s">
        <v>99</v>
      </c>
    </row>
    <row r="535" spans="1:26">
      <c r="A535" t="s">
        <v>5682</v>
      </c>
      <c r="B535" t="s">
        <v>135</v>
      </c>
      <c r="C535">
        <v>2022</v>
      </c>
      <c r="D535" t="s">
        <v>313</v>
      </c>
      <c r="E535" t="s">
        <v>314</v>
      </c>
      <c r="F535" t="s">
        <v>315</v>
      </c>
      <c r="G535" t="s">
        <v>99</v>
      </c>
      <c r="H535" t="s">
        <v>99</v>
      </c>
      <c r="I535" t="s">
        <v>316</v>
      </c>
      <c r="J535" t="s">
        <v>317</v>
      </c>
      <c r="K535" t="s">
        <v>318</v>
      </c>
      <c r="L535" s="13">
        <v>44887.363807870373</v>
      </c>
      <c r="M535" s="13">
        <v>44887.41170138889</v>
      </c>
      <c r="N535" s="13"/>
      <c r="O535" t="s">
        <v>99</v>
      </c>
      <c r="P535" t="s">
        <v>288</v>
      </c>
      <c r="Q535" t="s">
        <v>557</v>
      </c>
      <c r="R535" t="s">
        <v>99</v>
      </c>
      <c r="S535" t="s">
        <v>99</v>
      </c>
      <c r="T535" t="s">
        <v>99</v>
      </c>
      <c r="U535" t="s">
        <v>99</v>
      </c>
      <c r="V535" t="s">
        <v>99</v>
      </c>
      <c r="W535" t="s">
        <v>99</v>
      </c>
      <c r="X535" t="s">
        <v>5683</v>
      </c>
      <c r="Y535" t="s">
        <v>99</v>
      </c>
      <c r="Z535" t="s">
        <v>99</v>
      </c>
    </row>
    <row r="536" spans="1:26">
      <c r="A536" t="s">
        <v>5684</v>
      </c>
      <c r="B536" t="s">
        <v>94</v>
      </c>
      <c r="C536">
        <v>2016</v>
      </c>
      <c r="D536" t="s">
        <v>325</v>
      </c>
      <c r="E536" t="s">
        <v>326</v>
      </c>
      <c r="F536" t="s">
        <v>327</v>
      </c>
      <c r="G536" t="s">
        <v>328</v>
      </c>
      <c r="H536" t="s">
        <v>99</v>
      </c>
      <c r="I536" t="s">
        <v>329</v>
      </c>
      <c r="J536" t="s">
        <v>330</v>
      </c>
      <c r="K536" t="s">
        <v>331</v>
      </c>
      <c r="L536" s="13">
        <v>44887.363807870373</v>
      </c>
      <c r="M536" s="13">
        <v>44887.411666666667</v>
      </c>
      <c r="N536" s="13"/>
      <c r="O536" t="s">
        <v>332</v>
      </c>
      <c r="P536" t="s">
        <v>99</v>
      </c>
      <c r="Q536" t="s">
        <v>99</v>
      </c>
      <c r="R536" t="s">
        <v>99</v>
      </c>
      <c r="S536" t="s">
        <v>99</v>
      </c>
      <c r="T536" t="s">
        <v>104</v>
      </c>
      <c r="U536" t="s">
        <v>105</v>
      </c>
      <c r="V536" t="s">
        <v>99</v>
      </c>
      <c r="W536" t="s">
        <v>99</v>
      </c>
      <c r="X536" t="s">
        <v>5685</v>
      </c>
      <c r="Y536" t="s">
        <v>99</v>
      </c>
      <c r="Z536" t="s">
        <v>99</v>
      </c>
    </row>
    <row r="537" spans="1:26">
      <c r="A537" t="s">
        <v>5686</v>
      </c>
      <c r="B537" t="s">
        <v>94</v>
      </c>
      <c r="C537">
        <v>2020</v>
      </c>
      <c r="D537" t="s">
        <v>333</v>
      </c>
      <c r="E537" t="s">
        <v>334</v>
      </c>
      <c r="F537" t="s">
        <v>172</v>
      </c>
      <c r="G537" t="s">
        <v>173</v>
      </c>
      <c r="H537" t="s">
        <v>99</v>
      </c>
      <c r="I537" t="s">
        <v>335</v>
      </c>
      <c r="J537" t="s">
        <v>336</v>
      </c>
      <c r="K537" t="s">
        <v>176</v>
      </c>
      <c r="L537" s="13">
        <v>44887.363807870373</v>
      </c>
      <c r="M537" s="13">
        <v>44887.411620370367</v>
      </c>
      <c r="N537" s="13"/>
      <c r="O537" t="s">
        <v>99</v>
      </c>
      <c r="P537" t="s">
        <v>99</v>
      </c>
      <c r="Q537" t="s">
        <v>99</v>
      </c>
      <c r="R537" t="s">
        <v>99</v>
      </c>
      <c r="S537" t="s">
        <v>99</v>
      </c>
      <c r="T537" t="s">
        <v>104</v>
      </c>
      <c r="U537" t="s">
        <v>105</v>
      </c>
      <c r="V537" t="s">
        <v>99</v>
      </c>
      <c r="W537" t="s">
        <v>99</v>
      </c>
      <c r="X537" t="s">
        <v>5687</v>
      </c>
      <c r="Y537" t="s">
        <v>99</v>
      </c>
      <c r="Z537" t="s">
        <v>99</v>
      </c>
    </row>
    <row r="538" spans="1:26">
      <c r="A538" t="s">
        <v>5688</v>
      </c>
      <c r="B538" t="s">
        <v>94</v>
      </c>
      <c r="C538">
        <v>2012</v>
      </c>
      <c r="D538" t="s">
        <v>345</v>
      </c>
      <c r="E538" t="s">
        <v>346</v>
      </c>
      <c r="F538" t="s">
        <v>347</v>
      </c>
      <c r="G538" t="s">
        <v>348</v>
      </c>
      <c r="H538" t="s">
        <v>99</v>
      </c>
      <c r="I538" t="s">
        <v>349</v>
      </c>
      <c r="J538" t="s">
        <v>350</v>
      </c>
      <c r="K538" t="s">
        <v>351</v>
      </c>
      <c r="L538" s="13">
        <v>44887.363807870373</v>
      </c>
      <c r="M538" s="13">
        <v>44887.411574074074</v>
      </c>
      <c r="N538" s="13"/>
      <c r="O538" t="s">
        <v>352</v>
      </c>
      <c r="P538" t="s">
        <v>99</v>
      </c>
      <c r="Q538" t="s">
        <v>99</v>
      </c>
      <c r="R538" t="s">
        <v>99</v>
      </c>
      <c r="S538" t="s">
        <v>99</v>
      </c>
      <c r="T538" t="s">
        <v>104</v>
      </c>
      <c r="U538" t="s">
        <v>105</v>
      </c>
      <c r="V538" t="s">
        <v>99</v>
      </c>
      <c r="W538" t="s">
        <v>99</v>
      </c>
      <c r="X538" t="s">
        <v>5689</v>
      </c>
      <c r="Y538" t="s">
        <v>99</v>
      </c>
      <c r="Z538" t="s">
        <v>99</v>
      </c>
    </row>
    <row r="539" spans="1:26">
      <c r="A539" t="s">
        <v>5690</v>
      </c>
      <c r="B539" t="s">
        <v>135</v>
      </c>
      <c r="C539">
        <v>2018</v>
      </c>
      <c r="D539" t="s">
        <v>357</v>
      </c>
      <c r="E539" t="s">
        <v>358</v>
      </c>
      <c r="F539" t="s">
        <v>230</v>
      </c>
      <c r="G539" t="s">
        <v>99</v>
      </c>
      <c r="H539" t="s">
        <v>231</v>
      </c>
      <c r="I539" t="s">
        <v>359</v>
      </c>
      <c r="J539" t="s">
        <v>360</v>
      </c>
      <c r="K539" t="s">
        <v>361</v>
      </c>
      <c r="L539" s="13">
        <v>44887.363807870373</v>
      </c>
      <c r="M539" s="13">
        <v>44887.411527777775</v>
      </c>
      <c r="N539" s="13"/>
      <c r="O539" t="s">
        <v>362</v>
      </c>
      <c r="P539" t="s">
        <v>363</v>
      </c>
      <c r="Q539" t="s">
        <v>543</v>
      </c>
      <c r="R539" t="s">
        <v>99</v>
      </c>
      <c r="S539" t="s">
        <v>99</v>
      </c>
      <c r="T539" t="s">
        <v>99</v>
      </c>
      <c r="U539" t="s">
        <v>99</v>
      </c>
      <c r="V539" t="s">
        <v>99</v>
      </c>
      <c r="W539" t="s">
        <v>99</v>
      </c>
      <c r="X539" t="s">
        <v>5691</v>
      </c>
      <c r="Y539" t="s">
        <v>99</v>
      </c>
      <c r="Z539" t="s">
        <v>99</v>
      </c>
    </row>
    <row r="540" spans="1:26">
      <c r="A540" t="s">
        <v>5692</v>
      </c>
      <c r="B540" t="s">
        <v>135</v>
      </c>
      <c r="C540">
        <v>2019</v>
      </c>
      <c r="D540" t="s">
        <v>364</v>
      </c>
      <c r="E540" t="s">
        <v>365</v>
      </c>
      <c r="F540" t="s">
        <v>366</v>
      </c>
      <c r="G540" t="s">
        <v>99</v>
      </c>
      <c r="H540" t="s">
        <v>367</v>
      </c>
      <c r="I540" t="s">
        <v>368</v>
      </c>
      <c r="J540" t="s">
        <v>369</v>
      </c>
      <c r="K540" t="s">
        <v>370</v>
      </c>
      <c r="L540" s="13">
        <v>44887.363807870373</v>
      </c>
      <c r="M540" s="13">
        <v>44887.411481481482</v>
      </c>
      <c r="N540" s="13"/>
      <c r="O540" t="s">
        <v>99</v>
      </c>
      <c r="P540" t="s">
        <v>363</v>
      </c>
      <c r="Q540" t="s">
        <v>601</v>
      </c>
      <c r="R540" t="s">
        <v>99</v>
      </c>
      <c r="S540" t="s">
        <v>99</v>
      </c>
      <c r="T540" t="s">
        <v>99</v>
      </c>
      <c r="U540" t="s">
        <v>99</v>
      </c>
      <c r="V540" t="s">
        <v>99</v>
      </c>
      <c r="W540" t="s">
        <v>99</v>
      </c>
      <c r="X540" t="s">
        <v>5683</v>
      </c>
      <c r="Y540" t="s">
        <v>99</v>
      </c>
      <c r="Z540" t="s">
        <v>99</v>
      </c>
    </row>
    <row r="541" spans="1:26">
      <c r="A541" t="s">
        <v>5693</v>
      </c>
      <c r="B541" t="s">
        <v>94</v>
      </c>
      <c r="C541">
        <v>2017</v>
      </c>
      <c r="D541" t="s">
        <v>371</v>
      </c>
      <c r="E541" t="s">
        <v>372</v>
      </c>
      <c r="F541" t="s">
        <v>373</v>
      </c>
      <c r="G541" t="s">
        <v>374</v>
      </c>
      <c r="H541" t="s">
        <v>99</v>
      </c>
      <c r="I541" t="s">
        <v>375</v>
      </c>
      <c r="J541" t="s">
        <v>376</v>
      </c>
      <c r="K541" t="s">
        <v>156</v>
      </c>
      <c r="L541" s="13">
        <v>44887.363807870373</v>
      </c>
      <c r="M541" s="13">
        <v>44887.411446759259</v>
      </c>
      <c r="N541" s="13"/>
      <c r="O541" t="s">
        <v>377</v>
      </c>
      <c r="P541" t="s">
        <v>99</v>
      </c>
      <c r="Q541" t="s">
        <v>99</v>
      </c>
      <c r="R541" t="s">
        <v>99</v>
      </c>
      <c r="S541" t="s">
        <v>99</v>
      </c>
      <c r="T541" t="s">
        <v>104</v>
      </c>
      <c r="U541" t="s">
        <v>105</v>
      </c>
      <c r="V541" t="s">
        <v>99</v>
      </c>
      <c r="W541" t="s">
        <v>99</v>
      </c>
      <c r="X541" t="s">
        <v>5694</v>
      </c>
      <c r="Y541" t="s">
        <v>99</v>
      </c>
      <c r="Z541" t="s">
        <v>99</v>
      </c>
    </row>
    <row r="542" spans="1:26">
      <c r="A542" t="s">
        <v>5695</v>
      </c>
      <c r="B542" t="s">
        <v>94</v>
      </c>
      <c r="C542">
        <v>2018</v>
      </c>
      <c r="D542" t="s">
        <v>378</v>
      </c>
      <c r="E542" t="s">
        <v>379</v>
      </c>
      <c r="F542" t="s">
        <v>380</v>
      </c>
      <c r="G542" t="s">
        <v>381</v>
      </c>
      <c r="H542" t="s">
        <v>99</v>
      </c>
      <c r="I542" t="s">
        <v>382</v>
      </c>
      <c r="J542" t="s">
        <v>383</v>
      </c>
      <c r="K542" t="s">
        <v>384</v>
      </c>
      <c r="L542" s="13">
        <v>44887.363807870373</v>
      </c>
      <c r="M542" s="13">
        <v>44887.411400462966</v>
      </c>
      <c r="N542" s="13"/>
      <c r="O542" t="s">
        <v>385</v>
      </c>
      <c r="P542" t="s">
        <v>99</v>
      </c>
      <c r="Q542" t="s">
        <v>99</v>
      </c>
      <c r="R542" t="s">
        <v>99</v>
      </c>
      <c r="S542" t="s">
        <v>99</v>
      </c>
      <c r="T542" t="s">
        <v>104</v>
      </c>
      <c r="U542" t="s">
        <v>105</v>
      </c>
      <c r="V542" t="s">
        <v>99</v>
      </c>
      <c r="W542" t="s">
        <v>99</v>
      </c>
      <c r="X542" t="s">
        <v>5696</v>
      </c>
      <c r="Y542" t="s">
        <v>99</v>
      </c>
      <c r="Z542" t="s">
        <v>99</v>
      </c>
    </row>
    <row r="543" spans="1:26">
      <c r="A543" t="s">
        <v>5697</v>
      </c>
      <c r="B543" t="s">
        <v>94</v>
      </c>
      <c r="C543">
        <v>2014</v>
      </c>
      <c r="D543" t="s">
        <v>394</v>
      </c>
      <c r="E543" t="s">
        <v>395</v>
      </c>
      <c r="F543" t="s">
        <v>396</v>
      </c>
      <c r="G543" t="s">
        <v>397</v>
      </c>
      <c r="H543" t="s">
        <v>99</v>
      </c>
      <c r="I543" t="s">
        <v>398</v>
      </c>
      <c r="J543" t="s">
        <v>399</v>
      </c>
      <c r="K543" t="s">
        <v>400</v>
      </c>
      <c r="L543" s="13">
        <v>44887.363807870373</v>
      </c>
      <c r="M543" s="13">
        <v>44887.411354166667</v>
      </c>
      <c r="N543" s="13"/>
      <c r="O543" t="s">
        <v>401</v>
      </c>
      <c r="P543" t="s">
        <v>99</v>
      </c>
      <c r="Q543" t="s">
        <v>99</v>
      </c>
      <c r="R543" t="s">
        <v>99</v>
      </c>
      <c r="S543" t="s">
        <v>99</v>
      </c>
      <c r="T543" t="s">
        <v>104</v>
      </c>
      <c r="U543" t="s">
        <v>105</v>
      </c>
      <c r="V543" t="s">
        <v>99</v>
      </c>
      <c r="W543" t="s">
        <v>99</v>
      </c>
      <c r="X543" t="s">
        <v>5698</v>
      </c>
      <c r="Y543" t="s">
        <v>99</v>
      </c>
      <c r="Z543" t="s">
        <v>99</v>
      </c>
    </row>
    <row r="544" spans="1:26">
      <c r="A544" t="s">
        <v>4433</v>
      </c>
      <c r="B544" t="s">
        <v>94</v>
      </c>
      <c r="C544">
        <v>2017</v>
      </c>
      <c r="D544" t="s">
        <v>403</v>
      </c>
      <c r="E544" t="s">
        <v>404</v>
      </c>
      <c r="F544" t="s">
        <v>405</v>
      </c>
      <c r="G544" t="s">
        <v>406</v>
      </c>
      <c r="H544" t="s">
        <v>99</v>
      </c>
      <c r="I544" t="s">
        <v>407</v>
      </c>
      <c r="J544" t="s">
        <v>408</v>
      </c>
      <c r="K544" t="s">
        <v>156</v>
      </c>
      <c r="L544" s="13">
        <v>44887.363807870373</v>
      </c>
      <c r="M544" s="13">
        <v>44887.411307870374</v>
      </c>
      <c r="N544" s="13"/>
      <c r="O544" t="s">
        <v>99</v>
      </c>
      <c r="P544" t="s">
        <v>99</v>
      </c>
      <c r="Q544" t="s">
        <v>99</v>
      </c>
      <c r="R544" t="s">
        <v>99</v>
      </c>
      <c r="S544" t="s">
        <v>99</v>
      </c>
      <c r="T544" t="s">
        <v>104</v>
      </c>
      <c r="U544" t="s">
        <v>105</v>
      </c>
      <c r="V544" t="s">
        <v>99</v>
      </c>
      <c r="W544" t="s">
        <v>99</v>
      </c>
      <c r="X544" t="s">
        <v>5699</v>
      </c>
      <c r="Y544" t="s">
        <v>99</v>
      </c>
      <c r="Z544" t="s">
        <v>99</v>
      </c>
    </row>
    <row r="545" spans="1:26">
      <c r="A545" t="s">
        <v>5700</v>
      </c>
      <c r="B545" t="s">
        <v>94</v>
      </c>
      <c r="C545">
        <v>2010</v>
      </c>
      <c r="D545" t="s">
        <v>409</v>
      </c>
      <c r="E545" t="s">
        <v>410</v>
      </c>
      <c r="F545" t="s">
        <v>411</v>
      </c>
      <c r="G545" t="s">
        <v>412</v>
      </c>
      <c r="H545" t="s">
        <v>99</v>
      </c>
      <c r="I545" t="s">
        <v>413</v>
      </c>
      <c r="J545" t="s">
        <v>414</v>
      </c>
      <c r="K545" t="s">
        <v>130</v>
      </c>
      <c r="L545" s="13">
        <v>44887.363807870373</v>
      </c>
      <c r="M545" s="13">
        <v>44887.411261574074</v>
      </c>
      <c r="N545" s="13"/>
      <c r="O545" t="s">
        <v>99</v>
      </c>
      <c r="P545" t="s">
        <v>99</v>
      </c>
      <c r="Q545" t="s">
        <v>99</v>
      </c>
      <c r="R545" t="s">
        <v>99</v>
      </c>
      <c r="S545" t="s">
        <v>99</v>
      </c>
      <c r="T545" t="s">
        <v>104</v>
      </c>
      <c r="U545" t="s">
        <v>105</v>
      </c>
      <c r="V545" t="s">
        <v>99</v>
      </c>
      <c r="W545" t="s">
        <v>99</v>
      </c>
      <c r="X545" t="s">
        <v>5701</v>
      </c>
      <c r="Y545" t="s">
        <v>99</v>
      </c>
      <c r="Z545" t="s">
        <v>99</v>
      </c>
    </row>
    <row r="546" spans="1:26">
      <c r="A546" t="s">
        <v>5702</v>
      </c>
      <c r="B546" t="s">
        <v>135</v>
      </c>
      <c r="C546">
        <v>2019</v>
      </c>
      <c r="D546" t="s">
        <v>415</v>
      </c>
      <c r="E546" t="s">
        <v>416</v>
      </c>
      <c r="F546" t="s">
        <v>366</v>
      </c>
      <c r="G546" t="s">
        <v>99</v>
      </c>
      <c r="H546" t="s">
        <v>367</v>
      </c>
      <c r="I546" t="s">
        <v>417</v>
      </c>
      <c r="J546" t="s">
        <v>418</v>
      </c>
      <c r="K546" t="s">
        <v>419</v>
      </c>
      <c r="L546" s="13">
        <v>44887.363807870373</v>
      </c>
      <c r="M546" s="13">
        <v>44887.411226851851</v>
      </c>
      <c r="N546" s="13"/>
      <c r="O546" t="s">
        <v>99</v>
      </c>
      <c r="P546" t="s">
        <v>363</v>
      </c>
      <c r="Q546" t="s">
        <v>601</v>
      </c>
      <c r="R546" t="s">
        <v>99</v>
      </c>
      <c r="S546" t="s">
        <v>99</v>
      </c>
      <c r="T546" t="s">
        <v>99</v>
      </c>
      <c r="U546" t="s">
        <v>99</v>
      </c>
      <c r="V546" t="s">
        <v>99</v>
      </c>
      <c r="W546" t="s">
        <v>99</v>
      </c>
      <c r="X546" t="s">
        <v>5703</v>
      </c>
      <c r="Y546" t="s">
        <v>99</v>
      </c>
      <c r="Z546" t="s">
        <v>99</v>
      </c>
    </row>
    <row r="547" spans="1:26">
      <c r="A547" t="s">
        <v>5704</v>
      </c>
      <c r="B547" t="s">
        <v>135</v>
      </c>
      <c r="C547">
        <v>2022</v>
      </c>
      <c r="D547" t="s">
        <v>435</v>
      </c>
      <c r="E547" t="s">
        <v>436</v>
      </c>
      <c r="F547" t="s">
        <v>366</v>
      </c>
      <c r="G547" t="s">
        <v>99</v>
      </c>
      <c r="H547" t="s">
        <v>367</v>
      </c>
      <c r="I547" t="s">
        <v>437</v>
      </c>
      <c r="J547" t="s">
        <v>438</v>
      </c>
      <c r="K547" t="s">
        <v>439</v>
      </c>
      <c r="L547" s="13">
        <v>44887.363807870373</v>
      </c>
      <c r="M547" s="13">
        <v>44887.411180555559</v>
      </c>
      <c r="N547" s="13"/>
      <c r="O547" t="s">
        <v>99</v>
      </c>
      <c r="P547" t="s">
        <v>99</v>
      </c>
      <c r="Q547" t="s">
        <v>99</v>
      </c>
      <c r="R547" t="s">
        <v>99</v>
      </c>
      <c r="S547" t="s">
        <v>99</v>
      </c>
      <c r="T547" t="s">
        <v>99</v>
      </c>
      <c r="U547" t="s">
        <v>99</v>
      </c>
      <c r="V547" t="s">
        <v>99</v>
      </c>
      <c r="W547" t="s">
        <v>99</v>
      </c>
      <c r="X547" t="s">
        <v>5683</v>
      </c>
      <c r="Y547" t="s">
        <v>99</v>
      </c>
      <c r="Z547" t="s">
        <v>99</v>
      </c>
    </row>
    <row r="548" spans="1:26">
      <c r="A548" t="s">
        <v>5705</v>
      </c>
      <c r="B548" t="s">
        <v>94</v>
      </c>
      <c r="C548">
        <v>2018</v>
      </c>
      <c r="D548" t="s">
        <v>420</v>
      </c>
      <c r="E548" t="s">
        <v>421</v>
      </c>
      <c r="F548" t="s">
        <v>422</v>
      </c>
      <c r="G548" t="s">
        <v>423</v>
      </c>
      <c r="H548" t="s">
        <v>99</v>
      </c>
      <c r="I548" t="s">
        <v>424</v>
      </c>
      <c r="J548" t="s">
        <v>425</v>
      </c>
      <c r="K548" t="s">
        <v>384</v>
      </c>
      <c r="L548" s="13">
        <v>44887.363807870373</v>
      </c>
      <c r="M548" s="13">
        <v>44887.411134259259</v>
      </c>
      <c r="N548" s="13"/>
      <c r="O548" t="s">
        <v>426</v>
      </c>
      <c r="P548" t="s">
        <v>99</v>
      </c>
      <c r="Q548" t="s">
        <v>99</v>
      </c>
      <c r="R548" t="s">
        <v>99</v>
      </c>
      <c r="S548" t="s">
        <v>99</v>
      </c>
      <c r="T548" t="s">
        <v>104</v>
      </c>
      <c r="U548" t="s">
        <v>105</v>
      </c>
      <c r="V548" t="s">
        <v>99</v>
      </c>
      <c r="W548" t="s">
        <v>99</v>
      </c>
      <c r="X548" t="s">
        <v>5706</v>
      </c>
      <c r="Y548" t="s">
        <v>99</v>
      </c>
      <c r="Z548" t="s">
        <v>99</v>
      </c>
    </row>
    <row r="549" spans="1:26">
      <c r="A549" t="s">
        <v>5707</v>
      </c>
      <c r="B549" t="s">
        <v>135</v>
      </c>
      <c r="C549">
        <v>2014</v>
      </c>
      <c r="D549" t="s">
        <v>427</v>
      </c>
      <c r="E549" t="s">
        <v>428</v>
      </c>
      <c r="F549" t="s">
        <v>429</v>
      </c>
      <c r="G549" t="s">
        <v>99</v>
      </c>
      <c r="H549" t="s">
        <v>430</v>
      </c>
      <c r="I549" t="s">
        <v>431</v>
      </c>
      <c r="J549" t="s">
        <v>432</v>
      </c>
      <c r="K549" t="s">
        <v>433</v>
      </c>
      <c r="L549" s="13">
        <v>44887.363807870373</v>
      </c>
      <c r="M549" s="13">
        <v>44887.411087962966</v>
      </c>
      <c r="N549" s="13"/>
      <c r="O549" t="s">
        <v>99</v>
      </c>
      <c r="P549" t="s">
        <v>434</v>
      </c>
      <c r="Q549" t="s">
        <v>251</v>
      </c>
      <c r="R549" t="s">
        <v>99</v>
      </c>
      <c r="S549" t="s">
        <v>99</v>
      </c>
      <c r="T549" t="s">
        <v>99</v>
      </c>
      <c r="U549" t="s">
        <v>99</v>
      </c>
      <c r="V549" t="s">
        <v>99</v>
      </c>
      <c r="W549" t="s">
        <v>99</v>
      </c>
      <c r="X549" t="s">
        <v>5708</v>
      </c>
      <c r="Y549" t="s">
        <v>99</v>
      </c>
      <c r="Z549" t="s">
        <v>99</v>
      </c>
    </row>
    <row r="550" spans="1:26">
      <c r="A550" t="s">
        <v>5709</v>
      </c>
      <c r="B550" t="s">
        <v>94</v>
      </c>
      <c r="C550">
        <v>2022</v>
      </c>
      <c r="D550" t="s">
        <v>440</v>
      </c>
      <c r="E550" t="s">
        <v>441</v>
      </c>
      <c r="F550" t="s">
        <v>442</v>
      </c>
      <c r="G550" t="s">
        <v>443</v>
      </c>
      <c r="H550" t="s">
        <v>99</v>
      </c>
      <c r="I550" t="s">
        <v>444</v>
      </c>
      <c r="J550" t="s">
        <v>445</v>
      </c>
      <c r="K550" t="s">
        <v>123</v>
      </c>
      <c r="L550" s="13">
        <v>44887.363807870373</v>
      </c>
      <c r="M550" s="13">
        <v>44887.411053240743</v>
      </c>
      <c r="N550" s="13"/>
      <c r="O550" t="s">
        <v>446</v>
      </c>
      <c r="P550" t="s">
        <v>99</v>
      </c>
      <c r="Q550" t="s">
        <v>99</v>
      </c>
      <c r="R550" t="s">
        <v>99</v>
      </c>
      <c r="S550" t="s">
        <v>99</v>
      </c>
      <c r="T550" t="s">
        <v>104</v>
      </c>
      <c r="U550" t="s">
        <v>105</v>
      </c>
      <c r="V550" t="s">
        <v>99</v>
      </c>
      <c r="W550" t="s">
        <v>99</v>
      </c>
      <c r="X550" t="s">
        <v>5710</v>
      </c>
      <c r="Y550" t="s">
        <v>99</v>
      </c>
      <c r="Z550" t="s">
        <v>99</v>
      </c>
    </row>
    <row r="551" spans="1:26">
      <c r="A551" t="s">
        <v>5711</v>
      </c>
      <c r="B551" t="s">
        <v>94</v>
      </c>
      <c r="C551">
        <v>2020</v>
      </c>
      <c r="D551" t="s">
        <v>447</v>
      </c>
      <c r="E551" t="s">
        <v>448</v>
      </c>
      <c r="F551" t="s">
        <v>449</v>
      </c>
      <c r="G551" t="s">
        <v>450</v>
      </c>
      <c r="H551" t="s">
        <v>99</v>
      </c>
      <c r="I551" t="s">
        <v>451</v>
      </c>
      <c r="J551" t="s">
        <v>452</v>
      </c>
      <c r="K551" t="s">
        <v>176</v>
      </c>
      <c r="L551" s="13">
        <v>44887.363807870373</v>
      </c>
      <c r="M551" s="13">
        <v>44887.411006944443</v>
      </c>
      <c r="N551" s="13"/>
      <c r="O551" t="s">
        <v>453</v>
      </c>
      <c r="P551" t="s">
        <v>99</v>
      </c>
      <c r="Q551" t="s">
        <v>99</v>
      </c>
      <c r="R551" t="s">
        <v>99</v>
      </c>
      <c r="S551" t="s">
        <v>99</v>
      </c>
      <c r="T551" t="s">
        <v>104</v>
      </c>
      <c r="U551" t="s">
        <v>105</v>
      </c>
      <c r="V551" t="s">
        <v>99</v>
      </c>
      <c r="W551" t="s">
        <v>99</v>
      </c>
      <c r="X551" t="s">
        <v>5712</v>
      </c>
      <c r="Y551" t="s">
        <v>99</v>
      </c>
      <c r="Z551" t="s">
        <v>99</v>
      </c>
    </row>
    <row r="552" spans="1:26">
      <c r="A552" t="s">
        <v>5713</v>
      </c>
      <c r="B552" t="s">
        <v>94</v>
      </c>
      <c r="C552">
        <v>2021</v>
      </c>
      <c r="D552" t="s">
        <v>454</v>
      </c>
      <c r="E552" t="s">
        <v>455</v>
      </c>
      <c r="F552" t="s">
        <v>456</v>
      </c>
      <c r="G552" t="s">
        <v>457</v>
      </c>
      <c r="H552" t="s">
        <v>99</v>
      </c>
      <c r="I552" t="s">
        <v>458</v>
      </c>
      <c r="J552" t="s">
        <v>459</v>
      </c>
      <c r="K552" t="s">
        <v>113</v>
      </c>
      <c r="L552" s="13">
        <v>44887.363807870373</v>
      </c>
      <c r="M552" s="13">
        <v>44887.410960648151</v>
      </c>
      <c r="N552" s="13"/>
      <c r="O552" t="s">
        <v>99</v>
      </c>
      <c r="P552" t="s">
        <v>99</v>
      </c>
      <c r="Q552" t="s">
        <v>99</v>
      </c>
      <c r="R552" t="s">
        <v>99</v>
      </c>
      <c r="S552" t="s">
        <v>99</v>
      </c>
      <c r="T552" t="s">
        <v>104</v>
      </c>
      <c r="U552" t="s">
        <v>105</v>
      </c>
      <c r="V552" t="s">
        <v>99</v>
      </c>
      <c r="W552" t="s">
        <v>99</v>
      </c>
      <c r="X552" t="s">
        <v>5714</v>
      </c>
      <c r="Y552" t="s">
        <v>99</v>
      </c>
      <c r="Z552" t="s">
        <v>99</v>
      </c>
    </row>
    <row r="553" spans="1:26">
      <c r="A553" t="s">
        <v>5715</v>
      </c>
      <c r="B553" t="s">
        <v>94</v>
      </c>
      <c r="C553">
        <v>2017</v>
      </c>
      <c r="D553" t="s">
        <v>460</v>
      </c>
      <c r="E553" t="s">
        <v>461</v>
      </c>
      <c r="F553" t="s">
        <v>462</v>
      </c>
      <c r="G553" t="s">
        <v>463</v>
      </c>
      <c r="H553" t="s">
        <v>99</v>
      </c>
      <c r="I553" t="s">
        <v>464</v>
      </c>
      <c r="J553" t="s">
        <v>465</v>
      </c>
      <c r="K553" t="s">
        <v>156</v>
      </c>
      <c r="L553" s="13">
        <v>44887.363807870373</v>
      </c>
      <c r="M553" s="13">
        <v>44887.410914351851</v>
      </c>
      <c r="N553" s="13"/>
      <c r="O553" t="s">
        <v>466</v>
      </c>
      <c r="P553" t="s">
        <v>99</v>
      </c>
      <c r="Q553" t="s">
        <v>99</v>
      </c>
      <c r="R553" t="s">
        <v>99</v>
      </c>
      <c r="S553" t="s">
        <v>99</v>
      </c>
      <c r="T553" t="s">
        <v>104</v>
      </c>
      <c r="U553" t="s">
        <v>105</v>
      </c>
      <c r="V553" t="s">
        <v>99</v>
      </c>
      <c r="W553" t="s">
        <v>99</v>
      </c>
      <c r="X553" t="s">
        <v>5716</v>
      </c>
      <c r="Y553" t="s">
        <v>99</v>
      </c>
      <c r="Z553" t="s">
        <v>99</v>
      </c>
    </row>
    <row r="554" spans="1:26">
      <c r="A554" t="s">
        <v>5717</v>
      </c>
      <c r="B554" t="s">
        <v>94</v>
      </c>
      <c r="C554">
        <v>2018</v>
      </c>
      <c r="D554" t="s">
        <v>468</v>
      </c>
      <c r="E554" t="s">
        <v>469</v>
      </c>
      <c r="F554" t="s">
        <v>470</v>
      </c>
      <c r="G554" t="s">
        <v>471</v>
      </c>
      <c r="H554" t="s">
        <v>99</v>
      </c>
      <c r="I554" t="s">
        <v>472</v>
      </c>
      <c r="J554" t="s">
        <v>473</v>
      </c>
      <c r="K554" t="s">
        <v>384</v>
      </c>
      <c r="L554" s="13">
        <v>44887.363807870373</v>
      </c>
      <c r="M554" s="13">
        <v>44887.410879629628</v>
      </c>
      <c r="N554" s="13"/>
      <c r="O554" t="s">
        <v>99</v>
      </c>
      <c r="P554" t="s">
        <v>99</v>
      </c>
      <c r="Q554" t="s">
        <v>99</v>
      </c>
      <c r="R554" t="s">
        <v>99</v>
      </c>
      <c r="S554" t="s">
        <v>99</v>
      </c>
      <c r="T554" t="s">
        <v>104</v>
      </c>
      <c r="U554" t="s">
        <v>105</v>
      </c>
      <c r="V554" t="s">
        <v>99</v>
      </c>
      <c r="W554" t="s">
        <v>99</v>
      </c>
      <c r="X554" t="s">
        <v>5718</v>
      </c>
      <c r="Y554" t="s">
        <v>99</v>
      </c>
      <c r="Z554" t="s">
        <v>99</v>
      </c>
    </row>
    <row r="555" spans="1:26">
      <c r="A555" t="s">
        <v>5719</v>
      </c>
      <c r="B555" t="s">
        <v>135</v>
      </c>
      <c r="C555">
        <v>2021</v>
      </c>
      <c r="D555" t="s">
        <v>474</v>
      </c>
      <c r="E555" t="s">
        <v>475</v>
      </c>
      <c r="F555" t="s">
        <v>230</v>
      </c>
      <c r="G555" t="s">
        <v>99</v>
      </c>
      <c r="H555" t="s">
        <v>231</v>
      </c>
      <c r="I555" t="s">
        <v>476</v>
      </c>
      <c r="J555" t="s">
        <v>477</v>
      </c>
      <c r="K555" t="s">
        <v>478</v>
      </c>
      <c r="L555" s="13">
        <v>44887.363807870373</v>
      </c>
      <c r="M555" s="13">
        <v>44887.410833333335</v>
      </c>
      <c r="N555" s="13"/>
      <c r="O555" t="s">
        <v>479</v>
      </c>
      <c r="P555" t="s">
        <v>288</v>
      </c>
      <c r="Q555" t="s">
        <v>5333</v>
      </c>
      <c r="R555" t="s">
        <v>99</v>
      </c>
      <c r="S555" t="s">
        <v>99</v>
      </c>
      <c r="T555" t="s">
        <v>99</v>
      </c>
      <c r="U555" t="s">
        <v>99</v>
      </c>
      <c r="V555" t="s">
        <v>99</v>
      </c>
      <c r="W555" t="s">
        <v>99</v>
      </c>
      <c r="X555" t="s">
        <v>5720</v>
      </c>
      <c r="Y555" t="s">
        <v>99</v>
      </c>
      <c r="Z555" t="s">
        <v>99</v>
      </c>
    </row>
    <row r="556" spans="1:26">
      <c r="A556" t="s">
        <v>5721</v>
      </c>
      <c r="B556" t="s">
        <v>94</v>
      </c>
      <c r="C556">
        <v>2018</v>
      </c>
      <c r="D556" t="s">
        <v>480</v>
      </c>
      <c r="E556" t="s">
        <v>481</v>
      </c>
      <c r="F556" t="s">
        <v>482</v>
      </c>
      <c r="G556" t="s">
        <v>483</v>
      </c>
      <c r="H556" t="s">
        <v>99</v>
      </c>
      <c r="I556" t="s">
        <v>484</v>
      </c>
      <c r="J556" t="s">
        <v>485</v>
      </c>
      <c r="K556" t="s">
        <v>384</v>
      </c>
      <c r="L556" s="13">
        <v>44887.363807870373</v>
      </c>
      <c r="M556" s="13">
        <v>44887.410787037035</v>
      </c>
      <c r="N556" s="13"/>
      <c r="O556" t="s">
        <v>486</v>
      </c>
      <c r="P556" t="s">
        <v>99</v>
      </c>
      <c r="Q556" t="s">
        <v>99</v>
      </c>
      <c r="R556" t="s">
        <v>99</v>
      </c>
      <c r="S556" t="s">
        <v>99</v>
      </c>
      <c r="T556" t="s">
        <v>104</v>
      </c>
      <c r="U556" t="s">
        <v>105</v>
      </c>
      <c r="V556" t="s">
        <v>99</v>
      </c>
      <c r="W556" t="s">
        <v>99</v>
      </c>
      <c r="X556" t="s">
        <v>5722</v>
      </c>
      <c r="Y556" t="s">
        <v>99</v>
      </c>
      <c r="Z556" t="s">
        <v>99</v>
      </c>
    </row>
    <row r="557" spans="1:26">
      <c r="A557" t="s">
        <v>5723</v>
      </c>
      <c r="B557" t="s">
        <v>94</v>
      </c>
      <c r="C557">
        <v>2019</v>
      </c>
      <c r="D557" t="s">
        <v>487</v>
      </c>
      <c r="E557" t="s">
        <v>488</v>
      </c>
      <c r="F557" t="s">
        <v>489</v>
      </c>
      <c r="G557" t="s">
        <v>490</v>
      </c>
      <c r="H557" t="s">
        <v>99</v>
      </c>
      <c r="I557" t="s">
        <v>491</v>
      </c>
      <c r="J557" t="s">
        <v>492</v>
      </c>
      <c r="K557" t="s">
        <v>271</v>
      </c>
      <c r="L557" s="13">
        <v>44887.363807870373</v>
      </c>
      <c r="M557" s="13">
        <v>44887.410740740743</v>
      </c>
      <c r="N557" s="13"/>
      <c r="O557" t="s">
        <v>493</v>
      </c>
      <c r="P557" t="s">
        <v>99</v>
      </c>
      <c r="Q557" t="s">
        <v>99</v>
      </c>
      <c r="R557" t="s">
        <v>99</v>
      </c>
      <c r="S557" t="s">
        <v>99</v>
      </c>
      <c r="T557" t="s">
        <v>104</v>
      </c>
      <c r="U557" t="s">
        <v>105</v>
      </c>
      <c r="V557" t="s">
        <v>99</v>
      </c>
      <c r="W557" t="s">
        <v>99</v>
      </c>
      <c r="X557" t="s">
        <v>5724</v>
      </c>
      <c r="Y557" t="s">
        <v>99</v>
      </c>
      <c r="Z557" t="s">
        <v>99</v>
      </c>
    </row>
    <row r="558" spans="1:26">
      <c r="A558" t="s">
        <v>5725</v>
      </c>
      <c r="B558" t="s">
        <v>94</v>
      </c>
      <c r="C558">
        <v>2017</v>
      </c>
      <c r="D558" t="s">
        <v>494</v>
      </c>
      <c r="E558" t="s">
        <v>495</v>
      </c>
      <c r="F558" t="s">
        <v>496</v>
      </c>
      <c r="G558" t="s">
        <v>497</v>
      </c>
      <c r="H558" t="s">
        <v>99</v>
      </c>
      <c r="I558" t="s">
        <v>498</v>
      </c>
      <c r="J558" t="s">
        <v>499</v>
      </c>
      <c r="K558" t="s">
        <v>156</v>
      </c>
      <c r="L558" s="13">
        <v>44887.363807870373</v>
      </c>
      <c r="M558" s="13">
        <v>44887.410694444443</v>
      </c>
      <c r="N558" s="13"/>
      <c r="O558" t="s">
        <v>500</v>
      </c>
      <c r="P558" t="s">
        <v>99</v>
      </c>
      <c r="Q558" t="s">
        <v>99</v>
      </c>
      <c r="R558" t="s">
        <v>99</v>
      </c>
      <c r="S558" t="s">
        <v>99</v>
      </c>
      <c r="T558" t="s">
        <v>104</v>
      </c>
      <c r="U558" t="s">
        <v>105</v>
      </c>
      <c r="V558" t="s">
        <v>99</v>
      </c>
      <c r="W558" t="s">
        <v>99</v>
      </c>
      <c r="X558" t="s">
        <v>5726</v>
      </c>
      <c r="Y558" t="s">
        <v>99</v>
      </c>
      <c r="Z558" t="s">
        <v>99</v>
      </c>
    </row>
    <row r="559" spans="1:26">
      <c r="A559" t="s">
        <v>5727</v>
      </c>
      <c r="B559" t="s">
        <v>94</v>
      </c>
      <c r="C559">
        <v>2019</v>
      </c>
      <c r="D559" t="s">
        <v>501</v>
      </c>
      <c r="E559" t="s">
        <v>502</v>
      </c>
      <c r="F559" t="s">
        <v>267</v>
      </c>
      <c r="G559" t="s">
        <v>268</v>
      </c>
      <c r="H559" t="s">
        <v>99</v>
      </c>
      <c r="I559" t="s">
        <v>503</v>
      </c>
      <c r="J559" t="s">
        <v>504</v>
      </c>
      <c r="K559" t="s">
        <v>271</v>
      </c>
      <c r="L559" s="13">
        <v>44887.363807870373</v>
      </c>
      <c r="M559" s="13">
        <v>44887.41064814815</v>
      </c>
      <c r="N559" s="13"/>
      <c r="O559" t="s">
        <v>505</v>
      </c>
      <c r="P559" t="s">
        <v>99</v>
      </c>
      <c r="Q559" t="s">
        <v>99</v>
      </c>
      <c r="R559" t="s">
        <v>99</v>
      </c>
      <c r="S559" t="s">
        <v>99</v>
      </c>
      <c r="T559" t="s">
        <v>104</v>
      </c>
      <c r="U559" t="s">
        <v>105</v>
      </c>
      <c r="V559" t="s">
        <v>99</v>
      </c>
      <c r="W559" t="s">
        <v>99</v>
      </c>
      <c r="X559" t="s">
        <v>5728</v>
      </c>
      <c r="Y559" t="s">
        <v>99</v>
      </c>
      <c r="Z559" t="s">
        <v>99</v>
      </c>
    </row>
    <row r="560" spans="1:26">
      <c r="A560" t="s">
        <v>5729</v>
      </c>
      <c r="B560" t="s">
        <v>94</v>
      </c>
      <c r="C560">
        <v>2022</v>
      </c>
      <c r="D560" t="s">
        <v>506</v>
      </c>
      <c r="E560" t="s">
        <v>507</v>
      </c>
      <c r="F560" t="s">
        <v>508</v>
      </c>
      <c r="G560" t="s">
        <v>509</v>
      </c>
      <c r="H560" t="s">
        <v>99</v>
      </c>
      <c r="I560" t="s">
        <v>510</v>
      </c>
      <c r="J560" t="s">
        <v>511</v>
      </c>
      <c r="K560" t="s">
        <v>123</v>
      </c>
      <c r="L560" s="13">
        <v>44887.363807870373</v>
      </c>
      <c r="M560" s="13">
        <v>44887.410601851851</v>
      </c>
      <c r="N560" s="13"/>
      <c r="O560" t="s">
        <v>512</v>
      </c>
      <c r="P560" t="s">
        <v>99</v>
      </c>
      <c r="Q560" t="s">
        <v>99</v>
      </c>
      <c r="R560" t="s">
        <v>99</v>
      </c>
      <c r="S560" t="s">
        <v>99</v>
      </c>
      <c r="T560" t="s">
        <v>104</v>
      </c>
      <c r="U560" t="s">
        <v>105</v>
      </c>
      <c r="V560" t="s">
        <v>99</v>
      </c>
      <c r="W560" t="s">
        <v>99</v>
      </c>
      <c r="X560" t="s">
        <v>5730</v>
      </c>
      <c r="Y560" t="s">
        <v>99</v>
      </c>
      <c r="Z560" t="s">
        <v>99</v>
      </c>
    </row>
    <row r="561" spans="1:26">
      <c r="A561" t="s">
        <v>5731</v>
      </c>
      <c r="B561" t="s">
        <v>94</v>
      </c>
      <c r="C561">
        <v>2020</v>
      </c>
      <c r="D561" t="s">
        <v>506</v>
      </c>
      <c r="E561" t="s">
        <v>513</v>
      </c>
      <c r="F561" t="s">
        <v>172</v>
      </c>
      <c r="G561" t="s">
        <v>173</v>
      </c>
      <c r="H561" t="s">
        <v>99</v>
      </c>
      <c r="I561" t="s">
        <v>514</v>
      </c>
      <c r="J561" t="s">
        <v>515</v>
      </c>
      <c r="K561" t="s">
        <v>176</v>
      </c>
      <c r="L561" s="13">
        <v>44887.363807870373</v>
      </c>
      <c r="M561" s="13">
        <v>44887.410567129627</v>
      </c>
      <c r="N561" s="13"/>
      <c r="O561" t="s">
        <v>99</v>
      </c>
      <c r="P561" t="s">
        <v>99</v>
      </c>
      <c r="Q561" t="s">
        <v>99</v>
      </c>
      <c r="R561" t="s">
        <v>99</v>
      </c>
      <c r="S561" t="s">
        <v>99</v>
      </c>
      <c r="T561" t="s">
        <v>104</v>
      </c>
      <c r="U561" t="s">
        <v>105</v>
      </c>
      <c r="V561" t="s">
        <v>99</v>
      </c>
      <c r="W561" t="s">
        <v>99</v>
      </c>
      <c r="X561" t="s">
        <v>5732</v>
      </c>
      <c r="Y561" t="s">
        <v>99</v>
      </c>
      <c r="Z561" t="s">
        <v>99</v>
      </c>
    </row>
    <row r="562" spans="1:26">
      <c r="A562" t="s">
        <v>5733</v>
      </c>
      <c r="B562" t="s">
        <v>94</v>
      </c>
      <c r="C562">
        <v>2020</v>
      </c>
      <c r="D562" t="s">
        <v>516</v>
      </c>
      <c r="E562" t="s">
        <v>517</v>
      </c>
      <c r="F562" t="s">
        <v>172</v>
      </c>
      <c r="G562" t="s">
        <v>173</v>
      </c>
      <c r="H562" t="s">
        <v>99</v>
      </c>
      <c r="I562" t="s">
        <v>518</v>
      </c>
      <c r="J562" t="s">
        <v>519</v>
      </c>
      <c r="K562" t="s">
        <v>176</v>
      </c>
      <c r="L562" s="13">
        <v>44887.363807870373</v>
      </c>
      <c r="M562" s="13">
        <v>44887.410520833335</v>
      </c>
      <c r="N562" s="13"/>
      <c r="O562" t="s">
        <v>99</v>
      </c>
      <c r="P562" t="s">
        <v>99</v>
      </c>
      <c r="Q562" t="s">
        <v>99</v>
      </c>
      <c r="R562" t="s">
        <v>99</v>
      </c>
      <c r="S562" t="s">
        <v>99</v>
      </c>
      <c r="T562" t="s">
        <v>104</v>
      </c>
      <c r="U562" t="s">
        <v>105</v>
      </c>
      <c r="V562" t="s">
        <v>99</v>
      </c>
      <c r="W562" t="s">
        <v>99</v>
      </c>
      <c r="X562" t="s">
        <v>5734</v>
      </c>
      <c r="Y562" t="s">
        <v>99</v>
      </c>
      <c r="Z562" t="s">
        <v>99</v>
      </c>
    </row>
    <row r="563" spans="1:26">
      <c r="A563" t="s">
        <v>5735</v>
      </c>
      <c r="B563" t="s">
        <v>94</v>
      </c>
      <c r="C563">
        <v>2020</v>
      </c>
      <c r="D563" t="s">
        <v>520</v>
      </c>
      <c r="E563" t="s">
        <v>521</v>
      </c>
      <c r="F563" t="s">
        <v>522</v>
      </c>
      <c r="G563" t="s">
        <v>523</v>
      </c>
      <c r="H563" t="s">
        <v>99</v>
      </c>
      <c r="I563" t="s">
        <v>524</v>
      </c>
      <c r="J563" t="s">
        <v>525</v>
      </c>
      <c r="K563" t="s">
        <v>176</v>
      </c>
      <c r="L563" s="13">
        <v>44887.363807870373</v>
      </c>
      <c r="M563" s="13">
        <v>44887.410486111112</v>
      </c>
      <c r="N563" s="13"/>
      <c r="O563" t="s">
        <v>526</v>
      </c>
      <c r="P563" t="s">
        <v>99</v>
      </c>
      <c r="Q563" t="s">
        <v>99</v>
      </c>
      <c r="R563" t="s">
        <v>99</v>
      </c>
      <c r="S563" t="s">
        <v>99</v>
      </c>
      <c r="T563" t="s">
        <v>104</v>
      </c>
      <c r="U563" t="s">
        <v>105</v>
      </c>
      <c r="V563" t="s">
        <v>99</v>
      </c>
      <c r="W563" t="s">
        <v>99</v>
      </c>
      <c r="X563" t="s">
        <v>5736</v>
      </c>
      <c r="Y563" t="s">
        <v>99</v>
      </c>
      <c r="Z563" t="s">
        <v>99</v>
      </c>
    </row>
    <row r="564" spans="1:26">
      <c r="A564" t="s">
        <v>5737</v>
      </c>
      <c r="B564" t="s">
        <v>94</v>
      </c>
      <c r="C564">
        <v>2019</v>
      </c>
      <c r="D564" t="s">
        <v>527</v>
      </c>
      <c r="E564" t="s">
        <v>528</v>
      </c>
      <c r="F564" t="s">
        <v>529</v>
      </c>
      <c r="G564" t="s">
        <v>530</v>
      </c>
      <c r="H564" t="s">
        <v>99</v>
      </c>
      <c r="I564" t="s">
        <v>531</v>
      </c>
      <c r="J564" t="s">
        <v>532</v>
      </c>
      <c r="K564" t="s">
        <v>271</v>
      </c>
      <c r="L564" s="13">
        <v>44887.363807870373</v>
      </c>
      <c r="M564" s="13">
        <v>44887.410439814812</v>
      </c>
      <c r="N564" s="13"/>
      <c r="O564" t="s">
        <v>99</v>
      </c>
      <c r="P564" t="s">
        <v>99</v>
      </c>
      <c r="Q564" t="s">
        <v>99</v>
      </c>
      <c r="R564" t="s">
        <v>99</v>
      </c>
      <c r="S564" t="s">
        <v>99</v>
      </c>
      <c r="T564" t="s">
        <v>104</v>
      </c>
      <c r="U564" t="s">
        <v>105</v>
      </c>
      <c r="V564" t="s">
        <v>99</v>
      </c>
      <c r="W564" t="s">
        <v>99</v>
      </c>
      <c r="X564" t="s">
        <v>5738</v>
      </c>
      <c r="Y564" t="s">
        <v>99</v>
      </c>
      <c r="Z564" t="s">
        <v>99</v>
      </c>
    </row>
    <row r="565" spans="1:26">
      <c r="A565" t="s">
        <v>5739</v>
      </c>
      <c r="B565" t="s">
        <v>135</v>
      </c>
      <c r="C565">
        <v>2019</v>
      </c>
      <c r="D565" t="s">
        <v>533</v>
      </c>
      <c r="E565" t="s">
        <v>534</v>
      </c>
      <c r="F565" t="s">
        <v>366</v>
      </c>
      <c r="G565" t="s">
        <v>99</v>
      </c>
      <c r="H565" t="s">
        <v>367</v>
      </c>
      <c r="I565" t="s">
        <v>535</v>
      </c>
      <c r="J565" t="s">
        <v>536</v>
      </c>
      <c r="K565" t="s">
        <v>537</v>
      </c>
      <c r="L565" s="13">
        <v>44887.363807870373</v>
      </c>
      <c r="M565" s="13">
        <v>44887.410405092596</v>
      </c>
      <c r="N565" s="13"/>
      <c r="O565" t="s">
        <v>99</v>
      </c>
      <c r="P565" t="s">
        <v>363</v>
      </c>
      <c r="Q565" t="s">
        <v>601</v>
      </c>
      <c r="R565" t="s">
        <v>99</v>
      </c>
      <c r="S565" t="s">
        <v>99</v>
      </c>
      <c r="T565" t="s">
        <v>99</v>
      </c>
      <c r="U565" t="s">
        <v>99</v>
      </c>
      <c r="V565" t="s">
        <v>99</v>
      </c>
      <c r="W565" t="s">
        <v>99</v>
      </c>
      <c r="X565" t="s">
        <v>5740</v>
      </c>
      <c r="Y565" t="s">
        <v>99</v>
      </c>
      <c r="Z565" t="s">
        <v>99</v>
      </c>
    </row>
    <row r="566" spans="1:26">
      <c r="A566" t="s">
        <v>5741</v>
      </c>
      <c r="B566" t="s">
        <v>135</v>
      </c>
      <c r="C566">
        <v>2022</v>
      </c>
      <c r="D566" t="s">
        <v>538</v>
      </c>
      <c r="E566" t="s">
        <v>539</v>
      </c>
      <c r="F566" t="s">
        <v>230</v>
      </c>
      <c r="G566" t="s">
        <v>99</v>
      </c>
      <c r="H566" t="s">
        <v>231</v>
      </c>
      <c r="I566" t="s">
        <v>540</v>
      </c>
      <c r="J566" t="s">
        <v>541</v>
      </c>
      <c r="K566" t="s">
        <v>318</v>
      </c>
      <c r="L566" s="13">
        <v>44887.363807870373</v>
      </c>
      <c r="M566" s="13">
        <v>44887.410358796296</v>
      </c>
      <c r="N566" s="13"/>
      <c r="O566" t="s">
        <v>542</v>
      </c>
      <c r="P566" t="s">
        <v>543</v>
      </c>
      <c r="Q566" t="s">
        <v>4573</v>
      </c>
      <c r="R566" t="s">
        <v>99</v>
      </c>
      <c r="S566" t="s">
        <v>99</v>
      </c>
      <c r="T566" t="s">
        <v>99</v>
      </c>
      <c r="U566" t="s">
        <v>99</v>
      </c>
      <c r="V566" t="s">
        <v>99</v>
      </c>
      <c r="W566" t="s">
        <v>99</v>
      </c>
      <c r="X566" t="s">
        <v>5742</v>
      </c>
      <c r="Y566" t="s">
        <v>99</v>
      </c>
      <c r="Z566" t="s">
        <v>99</v>
      </c>
    </row>
    <row r="567" spans="1:26">
      <c r="A567" t="s">
        <v>5743</v>
      </c>
      <c r="B567" t="s">
        <v>94</v>
      </c>
      <c r="C567">
        <v>2019</v>
      </c>
      <c r="D567" t="s">
        <v>544</v>
      </c>
      <c r="E567" t="s">
        <v>545</v>
      </c>
      <c r="F567" t="s">
        <v>546</v>
      </c>
      <c r="G567" t="s">
        <v>547</v>
      </c>
      <c r="H567" t="s">
        <v>99</v>
      </c>
      <c r="I567" t="s">
        <v>548</v>
      </c>
      <c r="J567" t="s">
        <v>549</v>
      </c>
      <c r="K567" t="s">
        <v>271</v>
      </c>
      <c r="L567" s="13">
        <v>44887.363807870373</v>
      </c>
      <c r="M567" s="13">
        <v>44887.410312499997</v>
      </c>
      <c r="N567" s="13"/>
      <c r="O567" t="s">
        <v>99</v>
      </c>
      <c r="P567" t="s">
        <v>99</v>
      </c>
      <c r="Q567" t="s">
        <v>99</v>
      </c>
      <c r="R567" t="s">
        <v>99</v>
      </c>
      <c r="S567" t="s">
        <v>99</v>
      </c>
      <c r="T567" t="s">
        <v>104</v>
      </c>
      <c r="U567" t="s">
        <v>105</v>
      </c>
      <c r="V567" t="s">
        <v>99</v>
      </c>
      <c r="W567" t="s">
        <v>99</v>
      </c>
      <c r="X567" t="s">
        <v>5744</v>
      </c>
      <c r="Y567" t="s">
        <v>99</v>
      </c>
      <c r="Z567" t="s">
        <v>99</v>
      </c>
    </row>
    <row r="568" spans="1:26">
      <c r="A568" t="s">
        <v>5745</v>
      </c>
      <c r="B568" t="s">
        <v>94</v>
      </c>
      <c r="C568">
        <v>2006</v>
      </c>
      <c r="D568" t="s">
        <v>550</v>
      </c>
      <c r="E568" t="s">
        <v>551</v>
      </c>
      <c r="F568" t="s">
        <v>552</v>
      </c>
      <c r="G568" t="s">
        <v>553</v>
      </c>
      <c r="H568" t="s">
        <v>99</v>
      </c>
      <c r="I568" t="s">
        <v>554</v>
      </c>
      <c r="J568" t="s">
        <v>555</v>
      </c>
      <c r="K568" t="s">
        <v>279</v>
      </c>
      <c r="L568" s="13">
        <v>44887.363807870373</v>
      </c>
      <c r="M568" s="13">
        <v>44887.410277777781</v>
      </c>
      <c r="N568" s="13"/>
      <c r="O568" t="s">
        <v>556</v>
      </c>
      <c r="P568" t="s">
        <v>99</v>
      </c>
      <c r="Q568" t="s">
        <v>99</v>
      </c>
      <c r="R568" t="s">
        <v>99</v>
      </c>
      <c r="S568" t="s">
        <v>99</v>
      </c>
      <c r="T568" t="s">
        <v>104</v>
      </c>
      <c r="U568" t="s">
        <v>105</v>
      </c>
      <c r="V568" t="s">
        <v>99</v>
      </c>
      <c r="W568" t="s">
        <v>99</v>
      </c>
      <c r="X568" t="s">
        <v>5746</v>
      </c>
      <c r="Y568" t="s">
        <v>99</v>
      </c>
      <c r="Z568" t="s">
        <v>99</v>
      </c>
    </row>
    <row r="569" spans="1:26">
      <c r="A569" t="s">
        <v>5747</v>
      </c>
      <c r="B569" t="s">
        <v>135</v>
      </c>
      <c r="C569">
        <v>2002</v>
      </c>
      <c r="D569" t="s">
        <v>1415</v>
      </c>
      <c r="E569" t="s">
        <v>1416</v>
      </c>
      <c r="F569" t="s">
        <v>1417</v>
      </c>
      <c r="G569" t="s">
        <v>99</v>
      </c>
      <c r="H569" t="s">
        <v>1418</v>
      </c>
      <c r="I569" t="s">
        <v>1419</v>
      </c>
      <c r="J569" t="s">
        <v>1420</v>
      </c>
      <c r="K569" t="s">
        <v>1421</v>
      </c>
      <c r="L569" s="13">
        <v>44887.363807870373</v>
      </c>
      <c r="M569" s="13">
        <v>44887.410219907404</v>
      </c>
      <c r="N569" s="13">
        <v>44886.598020833335</v>
      </c>
      <c r="O569" t="s">
        <v>1422</v>
      </c>
      <c r="P569" t="s">
        <v>288</v>
      </c>
      <c r="Q569" t="s">
        <v>941</v>
      </c>
      <c r="R569" t="s">
        <v>1417</v>
      </c>
      <c r="S569" t="s">
        <v>99</v>
      </c>
      <c r="T569" t="s">
        <v>99</v>
      </c>
      <c r="U569" t="s">
        <v>99</v>
      </c>
      <c r="V569" t="s">
        <v>4495</v>
      </c>
      <c r="W569" t="s">
        <v>4496</v>
      </c>
      <c r="X569" t="s">
        <v>5748</v>
      </c>
      <c r="Y569" t="s">
        <v>99</v>
      </c>
      <c r="Z569" t="s">
        <v>99</v>
      </c>
    </row>
    <row r="570" spans="1:26">
      <c r="A570" t="s">
        <v>5749</v>
      </c>
      <c r="B570" t="s">
        <v>135</v>
      </c>
      <c r="C570">
        <v>2016</v>
      </c>
      <c r="D570" t="s">
        <v>1513</v>
      </c>
      <c r="E570" t="s">
        <v>1514</v>
      </c>
      <c r="F570" t="s">
        <v>1515</v>
      </c>
      <c r="G570" t="s">
        <v>99</v>
      </c>
      <c r="H570" t="s">
        <v>1516</v>
      </c>
      <c r="I570" t="s">
        <v>1517</v>
      </c>
      <c r="J570" t="s">
        <v>1518</v>
      </c>
      <c r="K570" t="s">
        <v>1519</v>
      </c>
      <c r="L570" s="13">
        <v>44887.363807870373</v>
      </c>
      <c r="M570" s="13">
        <v>44887.410208333335</v>
      </c>
      <c r="N570" s="13">
        <v>44886.598078703704</v>
      </c>
      <c r="O570" t="s">
        <v>1520</v>
      </c>
      <c r="P570" t="s">
        <v>288</v>
      </c>
      <c r="Q570" t="s">
        <v>5750</v>
      </c>
      <c r="R570" t="s">
        <v>5751</v>
      </c>
      <c r="S570" t="s">
        <v>99</v>
      </c>
      <c r="T570" t="s">
        <v>99</v>
      </c>
      <c r="U570" t="s">
        <v>99</v>
      </c>
      <c r="V570" t="s">
        <v>4495</v>
      </c>
      <c r="W570" t="s">
        <v>4496</v>
      </c>
      <c r="X570" t="s">
        <v>5752</v>
      </c>
      <c r="Y570" t="s">
        <v>99</v>
      </c>
      <c r="Z570" t="s">
        <v>99</v>
      </c>
    </row>
    <row r="571" spans="1:26">
      <c r="A571" t="s">
        <v>5753</v>
      </c>
      <c r="B571" t="s">
        <v>135</v>
      </c>
      <c r="C571">
        <v>2020</v>
      </c>
      <c r="D571" t="s">
        <v>1478</v>
      </c>
      <c r="E571" t="s">
        <v>1479</v>
      </c>
      <c r="F571" t="s">
        <v>1265</v>
      </c>
      <c r="G571" t="s">
        <v>99</v>
      </c>
      <c r="H571" t="s">
        <v>1266</v>
      </c>
      <c r="I571" t="s">
        <v>1480</v>
      </c>
      <c r="J571" t="s">
        <v>1481</v>
      </c>
      <c r="K571" t="s">
        <v>1482</v>
      </c>
      <c r="L571" s="13">
        <v>44887.363807870373</v>
      </c>
      <c r="M571" s="13">
        <v>44887.410196759258</v>
      </c>
      <c r="N571" s="13">
        <v>44886.598055555558</v>
      </c>
      <c r="O571" t="s">
        <v>1483</v>
      </c>
      <c r="P571" t="s">
        <v>500</v>
      </c>
      <c r="Q571" t="s">
        <v>3584</v>
      </c>
      <c r="R571" t="s">
        <v>4513</v>
      </c>
      <c r="S571" t="s">
        <v>5754</v>
      </c>
      <c r="T571" t="s">
        <v>99</v>
      </c>
      <c r="U571" t="s">
        <v>99</v>
      </c>
      <c r="V571" t="s">
        <v>4495</v>
      </c>
      <c r="W571" t="s">
        <v>4496</v>
      </c>
      <c r="X571" t="s">
        <v>5755</v>
      </c>
      <c r="Y571" t="s">
        <v>99</v>
      </c>
      <c r="Z571" t="s">
        <v>99</v>
      </c>
    </row>
    <row r="572" spans="1:26">
      <c r="A572" t="s">
        <v>5756</v>
      </c>
      <c r="B572" t="s">
        <v>135</v>
      </c>
      <c r="C572">
        <v>2022</v>
      </c>
      <c r="D572" t="s">
        <v>1570</v>
      </c>
      <c r="E572" t="s">
        <v>1571</v>
      </c>
      <c r="F572" t="s">
        <v>1572</v>
      </c>
      <c r="G572" t="s">
        <v>99</v>
      </c>
      <c r="H572" t="s">
        <v>1573</v>
      </c>
      <c r="I572" t="s">
        <v>1574</v>
      </c>
      <c r="J572" t="s">
        <v>1575</v>
      </c>
      <c r="K572" t="s">
        <v>1576</v>
      </c>
      <c r="L572" s="13">
        <v>44887.363807870373</v>
      </c>
      <c r="M572" s="13">
        <v>44887.410173611112</v>
      </c>
      <c r="N572" s="13">
        <v>44886.598113425927</v>
      </c>
      <c r="O572" t="s">
        <v>1577</v>
      </c>
      <c r="P572" t="s">
        <v>557</v>
      </c>
      <c r="Q572" t="s">
        <v>288</v>
      </c>
      <c r="R572" t="s">
        <v>5757</v>
      </c>
      <c r="S572" t="s">
        <v>99</v>
      </c>
      <c r="T572" t="s">
        <v>99</v>
      </c>
      <c r="U572" t="s">
        <v>99</v>
      </c>
      <c r="V572" t="s">
        <v>4495</v>
      </c>
      <c r="W572" t="s">
        <v>4496</v>
      </c>
      <c r="X572" t="s">
        <v>5758</v>
      </c>
      <c r="Y572" t="s">
        <v>99</v>
      </c>
      <c r="Z572" t="s">
        <v>99</v>
      </c>
    </row>
    <row r="573" spans="1:26">
      <c r="A573" t="s">
        <v>5759</v>
      </c>
      <c r="B573" t="s">
        <v>135</v>
      </c>
      <c r="C573">
        <v>2022</v>
      </c>
      <c r="D573" t="s">
        <v>1484</v>
      </c>
      <c r="E573" t="s">
        <v>1485</v>
      </c>
      <c r="F573" t="s">
        <v>1486</v>
      </c>
      <c r="G573" t="s">
        <v>99</v>
      </c>
      <c r="H573" t="s">
        <v>1487</v>
      </c>
      <c r="I573" t="s">
        <v>1488</v>
      </c>
      <c r="J573" t="s">
        <v>1489</v>
      </c>
      <c r="K573" t="s">
        <v>1490</v>
      </c>
      <c r="L573" s="13">
        <v>44887.363807870373</v>
      </c>
      <c r="M573" s="13">
        <v>44887.410173611112</v>
      </c>
      <c r="N573" s="13">
        <v>44886.598055555558</v>
      </c>
      <c r="O573" t="s">
        <v>1491</v>
      </c>
      <c r="P573" t="s">
        <v>288</v>
      </c>
      <c r="Q573" t="s">
        <v>4573</v>
      </c>
      <c r="R573" t="s">
        <v>4853</v>
      </c>
      <c r="S573" t="s">
        <v>5760</v>
      </c>
      <c r="T573" t="s">
        <v>99</v>
      </c>
      <c r="U573" t="s">
        <v>99</v>
      </c>
      <c r="V573" t="s">
        <v>4495</v>
      </c>
      <c r="W573" t="s">
        <v>4496</v>
      </c>
      <c r="X573" t="s">
        <v>5761</v>
      </c>
      <c r="Y573" t="s">
        <v>99</v>
      </c>
      <c r="Z573" t="s">
        <v>99</v>
      </c>
    </row>
    <row r="574" spans="1:26">
      <c r="A574" t="s">
        <v>5762</v>
      </c>
      <c r="B574" t="s">
        <v>135</v>
      </c>
      <c r="C574">
        <v>2021</v>
      </c>
      <c r="D574" t="s">
        <v>1700</v>
      </c>
      <c r="E574" t="s">
        <v>1701</v>
      </c>
      <c r="F574" t="s">
        <v>1702</v>
      </c>
      <c r="G574" t="s">
        <v>99</v>
      </c>
      <c r="H574" t="s">
        <v>1703</v>
      </c>
      <c r="I574" t="s">
        <v>1704</v>
      </c>
      <c r="J574" t="s">
        <v>1705</v>
      </c>
      <c r="K574" t="s">
        <v>1706</v>
      </c>
      <c r="L574" s="13">
        <v>44887.363807870373</v>
      </c>
      <c r="M574" s="13">
        <v>44887.410150462965</v>
      </c>
      <c r="N574" s="13">
        <v>44886.598217592589</v>
      </c>
      <c r="O574" t="s">
        <v>1707</v>
      </c>
      <c r="P574" t="s">
        <v>363</v>
      </c>
      <c r="Q574" t="s">
        <v>5750</v>
      </c>
      <c r="R574" t="s">
        <v>5763</v>
      </c>
      <c r="S574" t="s">
        <v>5764</v>
      </c>
      <c r="T574" t="s">
        <v>99</v>
      </c>
      <c r="U574" t="s">
        <v>99</v>
      </c>
      <c r="V574" t="s">
        <v>4495</v>
      </c>
      <c r="W574" t="s">
        <v>4496</v>
      </c>
      <c r="X574" t="s">
        <v>5765</v>
      </c>
      <c r="Y574" t="s">
        <v>99</v>
      </c>
      <c r="Z574" t="s">
        <v>99</v>
      </c>
    </row>
    <row r="575" spans="1:26">
      <c r="A575" t="s">
        <v>5766</v>
      </c>
      <c r="B575" t="s">
        <v>135</v>
      </c>
      <c r="C575">
        <v>2020</v>
      </c>
      <c r="D575" t="s">
        <v>1723</v>
      </c>
      <c r="E575" t="s">
        <v>1724</v>
      </c>
      <c r="F575" t="s">
        <v>1725</v>
      </c>
      <c r="G575" t="s">
        <v>99</v>
      </c>
      <c r="H575" t="s">
        <v>1726</v>
      </c>
      <c r="I575" t="s">
        <v>1727</v>
      </c>
      <c r="J575" t="s">
        <v>1728</v>
      </c>
      <c r="K575" t="s">
        <v>1729</v>
      </c>
      <c r="L575" s="13">
        <v>44887.363807870373</v>
      </c>
      <c r="M575" s="13">
        <v>44887.410138888888</v>
      </c>
      <c r="N575" s="13">
        <v>44886.598229166666</v>
      </c>
      <c r="O575" t="s">
        <v>1730</v>
      </c>
      <c r="P575" t="s">
        <v>288</v>
      </c>
      <c r="Q575" t="s">
        <v>5423</v>
      </c>
      <c r="R575" t="s">
        <v>5424</v>
      </c>
      <c r="S575" t="s">
        <v>99</v>
      </c>
      <c r="T575" t="s">
        <v>99</v>
      </c>
      <c r="U575" t="s">
        <v>99</v>
      </c>
      <c r="V575" t="s">
        <v>4495</v>
      </c>
      <c r="W575" t="s">
        <v>4496</v>
      </c>
      <c r="X575" t="s">
        <v>5767</v>
      </c>
      <c r="Y575" t="s">
        <v>99</v>
      </c>
      <c r="Z575" t="s">
        <v>99</v>
      </c>
    </row>
    <row r="576" spans="1:26">
      <c r="A576" t="s">
        <v>5768</v>
      </c>
      <c r="B576" t="s">
        <v>135</v>
      </c>
      <c r="C576">
        <v>2019</v>
      </c>
      <c r="D576" t="s">
        <v>1874</v>
      </c>
      <c r="E576" t="s">
        <v>1875</v>
      </c>
      <c r="F576" t="s">
        <v>1876</v>
      </c>
      <c r="G576" t="s">
        <v>99</v>
      </c>
      <c r="H576" t="s">
        <v>1877</v>
      </c>
      <c r="I576" t="s">
        <v>1878</v>
      </c>
      <c r="J576" t="s">
        <v>1879</v>
      </c>
      <c r="K576" t="s">
        <v>1880</v>
      </c>
      <c r="L576" s="13">
        <v>44887.363807870373</v>
      </c>
      <c r="M576" s="13">
        <v>44887.410127314812</v>
      </c>
      <c r="N576" s="13">
        <v>44886.598402777781</v>
      </c>
      <c r="O576" t="s">
        <v>1881</v>
      </c>
      <c r="P576" t="s">
        <v>182</v>
      </c>
      <c r="Q576" t="s">
        <v>4585</v>
      </c>
      <c r="R576" t="s">
        <v>5398</v>
      </c>
      <c r="S576" t="s">
        <v>5769</v>
      </c>
      <c r="T576" t="s">
        <v>99</v>
      </c>
      <c r="U576" t="s">
        <v>99</v>
      </c>
      <c r="V576" t="s">
        <v>4495</v>
      </c>
      <c r="W576" t="s">
        <v>4496</v>
      </c>
      <c r="X576" t="s">
        <v>5770</v>
      </c>
      <c r="Y576" t="s">
        <v>99</v>
      </c>
      <c r="Z576" t="s">
        <v>99</v>
      </c>
    </row>
    <row r="577" spans="1:26">
      <c r="A577" t="s">
        <v>5771</v>
      </c>
      <c r="B577" t="s">
        <v>135</v>
      </c>
      <c r="C577">
        <v>2022</v>
      </c>
      <c r="D577" t="s">
        <v>1882</v>
      </c>
      <c r="E577" t="s">
        <v>1883</v>
      </c>
      <c r="F577" t="s">
        <v>1884</v>
      </c>
      <c r="G577" t="s">
        <v>99</v>
      </c>
      <c r="H577" t="s">
        <v>1885</v>
      </c>
      <c r="I577" t="s">
        <v>1886</v>
      </c>
      <c r="J577" t="s">
        <v>1887</v>
      </c>
      <c r="K577" t="s">
        <v>1888</v>
      </c>
      <c r="L577" s="13">
        <v>44887.363807870373</v>
      </c>
      <c r="M577" s="13">
        <v>44887.410104166665</v>
      </c>
      <c r="N577" s="13">
        <v>44886.598402777781</v>
      </c>
      <c r="O577" t="s">
        <v>182</v>
      </c>
      <c r="P577" t="s">
        <v>182</v>
      </c>
      <c r="Q577" t="s">
        <v>870</v>
      </c>
      <c r="R577" t="s">
        <v>5772</v>
      </c>
      <c r="S577" t="s">
        <v>5773</v>
      </c>
      <c r="T577" t="s">
        <v>99</v>
      </c>
      <c r="U577" t="s">
        <v>99</v>
      </c>
      <c r="V577" t="s">
        <v>4495</v>
      </c>
      <c r="W577" t="s">
        <v>4496</v>
      </c>
      <c r="X577" t="s">
        <v>5774</v>
      </c>
      <c r="Y577" t="s">
        <v>99</v>
      </c>
      <c r="Z577" t="s">
        <v>99</v>
      </c>
    </row>
    <row r="578" spans="1:26">
      <c r="A578" t="s">
        <v>5775</v>
      </c>
      <c r="B578" t="s">
        <v>135</v>
      </c>
      <c r="C578">
        <v>1988</v>
      </c>
      <c r="D578" t="s">
        <v>1939</v>
      </c>
      <c r="E578" t="s">
        <v>1940</v>
      </c>
      <c r="F578" t="s">
        <v>1941</v>
      </c>
      <c r="G578" t="s">
        <v>99</v>
      </c>
      <c r="H578" t="s">
        <v>1942</v>
      </c>
      <c r="I578" t="s">
        <v>1943</v>
      </c>
      <c r="J578" t="s">
        <v>1944</v>
      </c>
      <c r="K578" t="s">
        <v>1945</v>
      </c>
      <c r="L578" s="13">
        <v>44887.363807870373</v>
      </c>
      <c r="M578" s="13">
        <v>44887.410081018519</v>
      </c>
      <c r="N578" s="13">
        <v>44886.598460648151</v>
      </c>
      <c r="O578" t="s">
        <v>1946</v>
      </c>
      <c r="P578" t="s">
        <v>182</v>
      </c>
      <c r="Q578" t="s">
        <v>182</v>
      </c>
      <c r="R578" t="s">
        <v>1941</v>
      </c>
      <c r="S578" t="s">
        <v>99</v>
      </c>
      <c r="T578" t="s">
        <v>99</v>
      </c>
      <c r="U578" t="s">
        <v>99</v>
      </c>
      <c r="V578" t="s">
        <v>4495</v>
      </c>
      <c r="W578" t="s">
        <v>4496</v>
      </c>
      <c r="X578" t="s">
        <v>5776</v>
      </c>
      <c r="Y578" t="s">
        <v>99</v>
      </c>
      <c r="Z578" t="s">
        <v>99</v>
      </c>
    </row>
    <row r="579" spans="1:26">
      <c r="A579" t="s">
        <v>5777</v>
      </c>
      <c r="B579" t="s">
        <v>135</v>
      </c>
      <c r="C579">
        <v>2011</v>
      </c>
      <c r="D579" t="s">
        <v>1915</v>
      </c>
      <c r="E579" t="s">
        <v>1916</v>
      </c>
      <c r="F579" t="s">
        <v>1917</v>
      </c>
      <c r="G579" t="s">
        <v>99</v>
      </c>
      <c r="H579" t="s">
        <v>1918</v>
      </c>
      <c r="I579" t="s">
        <v>1919</v>
      </c>
      <c r="J579" t="s">
        <v>1920</v>
      </c>
      <c r="K579" t="s">
        <v>1921</v>
      </c>
      <c r="L579" s="13">
        <v>44887.363807870373</v>
      </c>
      <c r="M579" s="13">
        <v>44887.410081018519</v>
      </c>
      <c r="N579" s="13">
        <v>44886.598460648151</v>
      </c>
      <c r="O579" t="s">
        <v>1922</v>
      </c>
      <c r="P579" t="s">
        <v>941</v>
      </c>
      <c r="Q579" t="s">
        <v>4762</v>
      </c>
      <c r="R579" t="s">
        <v>5778</v>
      </c>
      <c r="S579" t="s">
        <v>99</v>
      </c>
      <c r="T579" t="s">
        <v>99</v>
      </c>
      <c r="U579" t="s">
        <v>99</v>
      </c>
      <c r="V579" t="s">
        <v>4495</v>
      </c>
      <c r="W579" t="s">
        <v>4496</v>
      </c>
      <c r="X579" t="s">
        <v>5779</v>
      </c>
      <c r="Y579" t="s">
        <v>99</v>
      </c>
      <c r="Z579" t="s">
        <v>99</v>
      </c>
    </row>
    <row r="580" spans="1:26">
      <c r="A580" t="s">
        <v>4434</v>
      </c>
      <c r="B580" t="s">
        <v>94</v>
      </c>
      <c r="C580">
        <v>2021</v>
      </c>
      <c r="D580" t="s">
        <v>4108</v>
      </c>
      <c r="E580" t="s">
        <v>4109</v>
      </c>
      <c r="F580" t="s">
        <v>4110</v>
      </c>
      <c r="G580" t="s">
        <v>99</v>
      </c>
      <c r="H580" t="s">
        <v>99</v>
      </c>
      <c r="I580" t="s">
        <v>4111</v>
      </c>
      <c r="J580" t="s">
        <v>4112</v>
      </c>
      <c r="K580" t="s">
        <v>113</v>
      </c>
      <c r="L580" s="13">
        <v>44887.363807870373</v>
      </c>
      <c r="M580" s="13">
        <v>44887.363807870373</v>
      </c>
      <c r="N580" s="13"/>
      <c r="O580" t="s">
        <v>4113</v>
      </c>
      <c r="P580" t="s">
        <v>99</v>
      </c>
      <c r="Q580" t="s">
        <v>99</v>
      </c>
      <c r="R580" t="s">
        <v>99</v>
      </c>
      <c r="S580" t="s">
        <v>99</v>
      </c>
      <c r="T580" t="s">
        <v>4114</v>
      </c>
      <c r="U580" t="s">
        <v>99</v>
      </c>
      <c r="V580" t="s">
        <v>99</v>
      </c>
      <c r="W580" t="s">
        <v>99</v>
      </c>
      <c r="X580" t="s">
        <v>99</v>
      </c>
      <c r="Y580" t="s">
        <v>5780</v>
      </c>
      <c r="Z580" t="s">
        <v>99</v>
      </c>
    </row>
    <row r="581" spans="1:26">
      <c r="A581" t="s">
        <v>5781</v>
      </c>
      <c r="B581" t="s">
        <v>706</v>
      </c>
      <c r="C581">
        <v>2009</v>
      </c>
      <c r="D581" t="s">
        <v>4311</v>
      </c>
      <c r="E581" t="s">
        <v>4312</v>
      </c>
      <c r="F581" t="s">
        <v>99</v>
      </c>
      <c r="G581" t="s">
        <v>99</v>
      </c>
      <c r="H581" t="s">
        <v>99</v>
      </c>
      <c r="I581" t="s">
        <v>99</v>
      </c>
      <c r="J581" t="s">
        <v>4313</v>
      </c>
      <c r="K581" t="s">
        <v>615</v>
      </c>
      <c r="L581" s="13">
        <v>44887.363807870373</v>
      </c>
      <c r="M581" s="13">
        <v>44887.363807870373</v>
      </c>
      <c r="N581" s="13"/>
      <c r="O581" t="s">
        <v>99</v>
      </c>
      <c r="P581" t="s">
        <v>99</v>
      </c>
      <c r="Q581" t="s">
        <v>99</v>
      </c>
      <c r="R581" t="s">
        <v>99</v>
      </c>
      <c r="S581" t="s">
        <v>99</v>
      </c>
      <c r="T581" t="s">
        <v>4314</v>
      </c>
      <c r="U581" t="s">
        <v>99</v>
      </c>
      <c r="V581" t="s">
        <v>99</v>
      </c>
      <c r="W581" t="s">
        <v>99</v>
      </c>
      <c r="X581" t="s">
        <v>99</v>
      </c>
      <c r="Y581" t="s">
        <v>99</v>
      </c>
      <c r="Z581" t="s">
        <v>99</v>
      </c>
    </row>
    <row r="582" spans="1:26">
      <c r="A582" t="s">
        <v>5782</v>
      </c>
      <c r="B582" t="s">
        <v>135</v>
      </c>
      <c r="C582">
        <v>2018</v>
      </c>
      <c r="D582" t="s">
        <v>4119</v>
      </c>
      <c r="E582" t="s">
        <v>4120</v>
      </c>
      <c r="F582" t="s">
        <v>4121</v>
      </c>
      <c r="G582" t="s">
        <v>99</v>
      </c>
      <c r="H582" t="s">
        <v>99</v>
      </c>
      <c r="I582" t="s">
        <v>4122</v>
      </c>
      <c r="J582" t="s">
        <v>4123</v>
      </c>
      <c r="K582" t="s">
        <v>384</v>
      </c>
      <c r="L582" s="13">
        <v>44887.363807870373</v>
      </c>
      <c r="M582" s="13">
        <v>44887.363807870373</v>
      </c>
      <c r="N582" s="13"/>
      <c r="O582" t="s">
        <v>4124</v>
      </c>
      <c r="P582" t="s">
        <v>99</v>
      </c>
      <c r="Q582" t="s">
        <v>5783</v>
      </c>
      <c r="R582" t="s">
        <v>99</v>
      </c>
      <c r="S582" t="s">
        <v>99</v>
      </c>
      <c r="T582" t="s">
        <v>99</v>
      </c>
      <c r="U582" t="s">
        <v>99</v>
      </c>
      <c r="V582" t="s">
        <v>99</v>
      </c>
      <c r="W582" t="s">
        <v>99</v>
      </c>
      <c r="X582" t="s">
        <v>99</v>
      </c>
      <c r="Y582" t="s">
        <v>99</v>
      </c>
      <c r="Z582" t="s">
        <v>99</v>
      </c>
    </row>
    <row r="583" spans="1:26">
      <c r="A583" t="s">
        <v>4435</v>
      </c>
      <c r="B583" t="s">
        <v>94</v>
      </c>
      <c r="C583">
        <v>2017</v>
      </c>
      <c r="D583" t="s">
        <v>4046</v>
      </c>
      <c r="E583" t="s">
        <v>4047</v>
      </c>
      <c r="F583" t="s">
        <v>4048</v>
      </c>
      <c r="G583" t="s">
        <v>99</v>
      </c>
      <c r="H583" t="s">
        <v>99</v>
      </c>
      <c r="I583" t="s">
        <v>99</v>
      </c>
      <c r="J583" t="s">
        <v>4049</v>
      </c>
      <c r="K583" t="s">
        <v>156</v>
      </c>
      <c r="L583" s="13">
        <v>44887.363807870373</v>
      </c>
      <c r="M583" s="13">
        <v>44887.363807870373</v>
      </c>
      <c r="N583" s="13"/>
      <c r="O583" t="s">
        <v>99</v>
      </c>
      <c r="P583" t="s">
        <v>99</v>
      </c>
      <c r="Q583" t="s">
        <v>99</v>
      </c>
      <c r="R583" t="s">
        <v>99</v>
      </c>
      <c r="S583" t="s">
        <v>99</v>
      </c>
      <c r="T583" t="s">
        <v>4050</v>
      </c>
      <c r="U583" t="s">
        <v>99</v>
      </c>
      <c r="V583" t="s">
        <v>99</v>
      </c>
      <c r="W583" t="s">
        <v>99</v>
      </c>
      <c r="X583" t="s">
        <v>99</v>
      </c>
      <c r="Y583" t="s">
        <v>99</v>
      </c>
      <c r="Z583" t="s">
        <v>99</v>
      </c>
    </row>
    <row r="584" spans="1:26">
      <c r="A584" t="s">
        <v>4436</v>
      </c>
      <c r="B584" t="s">
        <v>94</v>
      </c>
      <c r="C584">
        <v>2011</v>
      </c>
      <c r="D584" t="s">
        <v>386</v>
      </c>
      <c r="E584" t="s">
        <v>387</v>
      </c>
      <c r="F584" t="s">
        <v>388</v>
      </c>
      <c r="G584" t="s">
        <v>389</v>
      </c>
      <c r="H584" t="s">
        <v>99</v>
      </c>
      <c r="I584" t="s">
        <v>390</v>
      </c>
      <c r="J584" t="s">
        <v>391</v>
      </c>
      <c r="K584" t="s">
        <v>102</v>
      </c>
      <c r="L584" s="13">
        <v>44887.363807870373</v>
      </c>
      <c r="M584" s="13">
        <v>44887.363807870373</v>
      </c>
      <c r="N584" s="13"/>
      <c r="O584" t="s">
        <v>392</v>
      </c>
      <c r="P584" t="s">
        <v>99</v>
      </c>
      <c r="Q584" t="s">
        <v>99</v>
      </c>
      <c r="R584" t="s">
        <v>99</v>
      </c>
      <c r="S584" t="s">
        <v>99</v>
      </c>
      <c r="T584" t="s">
        <v>104</v>
      </c>
      <c r="U584" t="s">
        <v>105</v>
      </c>
      <c r="V584" t="s">
        <v>99</v>
      </c>
      <c r="W584" t="s">
        <v>99</v>
      </c>
      <c r="X584" t="s">
        <v>393</v>
      </c>
      <c r="Y584" t="s">
        <v>99</v>
      </c>
      <c r="Z584" t="s">
        <v>99</v>
      </c>
    </row>
    <row r="585" spans="1:26">
      <c r="A585" t="s">
        <v>5784</v>
      </c>
      <c r="B585" t="s">
        <v>222</v>
      </c>
      <c r="C585">
        <v>2009</v>
      </c>
      <c r="D585" t="s">
        <v>1464</v>
      </c>
      <c r="E585" t="s">
        <v>1465</v>
      </c>
      <c r="F585" t="s">
        <v>1466</v>
      </c>
      <c r="G585" t="s">
        <v>1467</v>
      </c>
      <c r="H585" t="s">
        <v>99</v>
      </c>
      <c r="I585" t="s">
        <v>99</v>
      </c>
      <c r="J585" t="s">
        <v>1468</v>
      </c>
      <c r="K585" t="s">
        <v>615</v>
      </c>
      <c r="L585" s="13">
        <v>44887.363807870373</v>
      </c>
      <c r="M585" s="13">
        <v>44887.363807870373</v>
      </c>
      <c r="N585" s="13">
        <v>44886.598043981481</v>
      </c>
      <c r="O585" t="s">
        <v>1469</v>
      </c>
      <c r="P585" t="s">
        <v>99</v>
      </c>
      <c r="Q585" t="s">
        <v>5445</v>
      </c>
      <c r="R585" t="s">
        <v>99</v>
      </c>
      <c r="S585" t="s">
        <v>5785</v>
      </c>
      <c r="T585" t="s">
        <v>1218</v>
      </c>
      <c r="U585" t="s">
        <v>133</v>
      </c>
      <c r="V585" t="s">
        <v>99</v>
      </c>
      <c r="W585" t="s">
        <v>4496</v>
      </c>
      <c r="X585" t="s">
        <v>1470</v>
      </c>
      <c r="Y585" t="s">
        <v>5446</v>
      </c>
      <c r="Z585" t="s">
        <v>99</v>
      </c>
    </row>
    <row r="586" spans="1:26">
      <c r="A586" t="s">
        <v>5786</v>
      </c>
      <c r="B586" t="s">
        <v>135</v>
      </c>
      <c r="C586">
        <v>2020</v>
      </c>
      <c r="D586" t="s">
        <v>673</v>
      </c>
      <c r="E586" t="s">
        <v>1173</v>
      </c>
      <c r="F586" t="s">
        <v>675</v>
      </c>
      <c r="G586" t="s">
        <v>99</v>
      </c>
      <c r="H586" t="s">
        <v>99</v>
      </c>
      <c r="I586" t="s">
        <v>1174</v>
      </c>
      <c r="J586" t="s">
        <v>99</v>
      </c>
      <c r="K586" t="s">
        <v>176</v>
      </c>
      <c r="L586" s="13">
        <v>44887.363807870373</v>
      </c>
      <c r="M586" s="13">
        <v>44887.363807870373</v>
      </c>
      <c r="N586" s="13"/>
      <c r="O586" t="s">
        <v>1175</v>
      </c>
      <c r="P586" t="s">
        <v>99</v>
      </c>
      <c r="Q586" t="s">
        <v>402</v>
      </c>
      <c r="R586" t="s">
        <v>99</v>
      </c>
      <c r="S586" t="s">
        <v>99</v>
      </c>
      <c r="T586" t="s">
        <v>99</v>
      </c>
      <c r="U586" t="s">
        <v>99</v>
      </c>
      <c r="V586" t="s">
        <v>99</v>
      </c>
      <c r="W586" t="s">
        <v>99</v>
      </c>
      <c r="X586" t="s">
        <v>99</v>
      </c>
      <c r="Y586" t="s">
        <v>99</v>
      </c>
      <c r="Z586" t="s">
        <v>99</v>
      </c>
    </row>
    <row r="587" spans="1:26">
      <c r="A587" t="s">
        <v>5787</v>
      </c>
      <c r="B587" t="s">
        <v>94</v>
      </c>
      <c r="C587">
        <v>2020</v>
      </c>
      <c r="D587" t="s">
        <v>1155</v>
      </c>
      <c r="E587" t="s">
        <v>1156</v>
      </c>
      <c r="F587" t="s">
        <v>1157</v>
      </c>
      <c r="G587" t="s">
        <v>99</v>
      </c>
      <c r="H587" t="s">
        <v>99</v>
      </c>
      <c r="I587" t="s">
        <v>1158</v>
      </c>
      <c r="J587" t="s">
        <v>99</v>
      </c>
      <c r="K587" t="s">
        <v>176</v>
      </c>
      <c r="L587" s="13">
        <v>44887.363807870373</v>
      </c>
      <c r="M587" s="13">
        <v>44887.363807870373</v>
      </c>
      <c r="N587" s="13"/>
      <c r="O587" t="s">
        <v>1159</v>
      </c>
      <c r="P587" t="s">
        <v>99</v>
      </c>
      <c r="Q587" t="s">
        <v>99</v>
      </c>
      <c r="R587" t="s">
        <v>99</v>
      </c>
      <c r="S587" t="s">
        <v>99</v>
      </c>
      <c r="T587" t="s">
        <v>99</v>
      </c>
      <c r="U587" t="s">
        <v>99</v>
      </c>
      <c r="V587" t="s">
        <v>99</v>
      </c>
      <c r="W587" t="s">
        <v>99</v>
      </c>
      <c r="X587" t="s">
        <v>99</v>
      </c>
      <c r="Y587" t="s">
        <v>99</v>
      </c>
      <c r="Z587" t="s">
        <v>99</v>
      </c>
    </row>
    <row r="588" spans="1:26">
      <c r="A588" t="s">
        <v>5788</v>
      </c>
      <c r="B588" t="s">
        <v>94</v>
      </c>
      <c r="C588">
        <v>2019</v>
      </c>
      <c r="D588" t="s">
        <v>1146</v>
      </c>
      <c r="E588" t="s">
        <v>1147</v>
      </c>
      <c r="F588" t="s">
        <v>1148</v>
      </c>
      <c r="G588" t="s">
        <v>99</v>
      </c>
      <c r="H588" t="s">
        <v>99</v>
      </c>
      <c r="I588" t="s">
        <v>1149</v>
      </c>
      <c r="J588" t="s">
        <v>99</v>
      </c>
      <c r="K588" t="s">
        <v>271</v>
      </c>
      <c r="L588" s="13">
        <v>44887.363807870373</v>
      </c>
      <c r="M588" s="13">
        <v>44887.363807870373</v>
      </c>
      <c r="N588" s="13"/>
      <c r="O588" t="s">
        <v>672</v>
      </c>
      <c r="P588" t="s">
        <v>99</v>
      </c>
      <c r="Q588" t="s">
        <v>99</v>
      </c>
      <c r="R588" t="s">
        <v>99</v>
      </c>
      <c r="S588" t="s">
        <v>99</v>
      </c>
      <c r="T588" t="s">
        <v>99</v>
      </c>
      <c r="U588" t="s">
        <v>99</v>
      </c>
      <c r="V588" t="s">
        <v>99</v>
      </c>
      <c r="W588" t="s">
        <v>99</v>
      </c>
      <c r="X588" t="s">
        <v>99</v>
      </c>
      <c r="Y588" t="s">
        <v>99</v>
      </c>
      <c r="Z588" t="s">
        <v>99</v>
      </c>
    </row>
    <row r="589" spans="1:26">
      <c r="A589" t="s">
        <v>5789</v>
      </c>
      <c r="B589" t="s">
        <v>94</v>
      </c>
      <c r="C589">
        <v>2021</v>
      </c>
      <c r="D589" t="s">
        <v>952</v>
      </c>
      <c r="E589" t="s">
        <v>953</v>
      </c>
      <c r="F589" t="s">
        <v>954</v>
      </c>
      <c r="G589" t="s">
        <v>99</v>
      </c>
      <c r="H589" t="s">
        <v>99</v>
      </c>
      <c r="I589" t="s">
        <v>955</v>
      </c>
      <c r="J589" t="s">
        <v>99</v>
      </c>
      <c r="K589" t="s">
        <v>113</v>
      </c>
      <c r="L589" s="13">
        <v>44887.363807870373</v>
      </c>
      <c r="M589" s="13">
        <v>44887.363807870373</v>
      </c>
      <c r="N589" s="13"/>
      <c r="O589" t="s">
        <v>956</v>
      </c>
      <c r="P589" t="s">
        <v>99</v>
      </c>
      <c r="Q589" t="s">
        <v>99</v>
      </c>
      <c r="R589" t="s">
        <v>99</v>
      </c>
      <c r="S589" t="s">
        <v>99</v>
      </c>
      <c r="T589" t="s">
        <v>99</v>
      </c>
      <c r="U589" t="s">
        <v>99</v>
      </c>
      <c r="V589" t="s">
        <v>99</v>
      </c>
      <c r="W589" t="s">
        <v>99</v>
      </c>
      <c r="X589" t="s">
        <v>99</v>
      </c>
      <c r="Y589" t="s">
        <v>99</v>
      </c>
      <c r="Z589" t="s">
        <v>99</v>
      </c>
    </row>
    <row r="590" spans="1:26">
      <c r="A590" t="s">
        <v>5790</v>
      </c>
      <c r="B590" t="s">
        <v>94</v>
      </c>
      <c r="C590">
        <v>2011</v>
      </c>
      <c r="D590" t="s">
        <v>909</v>
      </c>
      <c r="E590" t="s">
        <v>910</v>
      </c>
      <c r="F590" t="s">
        <v>911</v>
      </c>
      <c r="G590" t="s">
        <v>99</v>
      </c>
      <c r="H590" t="s">
        <v>99</v>
      </c>
      <c r="I590" t="s">
        <v>912</v>
      </c>
      <c r="J590" t="s">
        <v>99</v>
      </c>
      <c r="K590" t="s">
        <v>102</v>
      </c>
      <c r="L590" s="13">
        <v>44887.363807870373</v>
      </c>
      <c r="M590" s="13">
        <v>44887.363807870373</v>
      </c>
      <c r="N590" s="13"/>
      <c r="O590" t="s">
        <v>913</v>
      </c>
      <c r="P590" t="s">
        <v>99</v>
      </c>
      <c r="Q590" t="s">
        <v>99</v>
      </c>
      <c r="R590" t="s">
        <v>99</v>
      </c>
      <c r="S590" t="s">
        <v>99</v>
      </c>
      <c r="T590" t="s">
        <v>99</v>
      </c>
      <c r="U590" t="s">
        <v>99</v>
      </c>
      <c r="V590" t="s">
        <v>99</v>
      </c>
      <c r="W590" t="s">
        <v>99</v>
      </c>
      <c r="X590" t="s">
        <v>99</v>
      </c>
      <c r="Y590" t="s">
        <v>99</v>
      </c>
      <c r="Z590" t="s">
        <v>99</v>
      </c>
    </row>
    <row r="591" spans="1:26">
      <c r="A591" t="s">
        <v>4437</v>
      </c>
      <c r="B591" t="s">
        <v>94</v>
      </c>
      <c r="C591">
        <v>2020</v>
      </c>
      <c r="D591" t="s">
        <v>860</v>
      </c>
      <c r="E591" t="s">
        <v>861</v>
      </c>
      <c r="F591" t="s">
        <v>862</v>
      </c>
      <c r="G591" t="s">
        <v>99</v>
      </c>
      <c r="H591" t="s">
        <v>99</v>
      </c>
      <c r="I591" t="s">
        <v>863</v>
      </c>
      <c r="J591" t="s">
        <v>99</v>
      </c>
      <c r="K591" t="s">
        <v>176</v>
      </c>
      <c r="L591" s="13">
        <v>44887.363807870373</v>
      </c>
      <c r="M591" s="13">
        <v>44887.363807870373</v>
      </c>
      <c r="N591" s="13"/>
      <c r="O591" t="s">
        <v>864</v>
      </c>
      <c r="P591" t="s">
        <v>99</v>
      </c>
      <c r="Q591" t="s">
        <v>99</v>
      </c>
      <c r="R591" t="s">
        <v>99</v>
      </c>
      <c r="S591" t="s">
        <v>99</v>
      </c>
      <c r="T591" t="s">
        <v>99</v>
      </c>
      <c r="U591" t="s">
        <v>99</v>
      </c>
      <c r="V591" t="s">
        <v>99</v>
      </c>
      <c r="W591" t="s">
        <v>99</v>
      </c>
      <c r="X591" t="s">
        <v>99</v>
      </c>
      <c r="Y591" t="s">
        <v>99</v>
      </c>
      <c r="Z591" t="s">
        <v>99</v>
      </c>
    </row>
    <row r="592" spans="1:26">
      <c r="A592" t="s">
        <v>5791</v>
      </c>
      <c r="B592" t="s">
        <v>94</v>
      </c>
      <c r="C592">
        <v>2021</v>
      </c>
      <c r="D592" t="s">
        <v>746</v>
      </c>
      <c r="E592" t="s">
        <v>747</v>
      </c>
      <c r="F592" t="s">
        <v>748</v>
      </c>
      <c r="G592" t="s">
        <v>99</v>
      </c>
      <c r="H592" t="s">
        <v>99</v>
      </c>
      <c r="I592" t="s">
        <v>749</v>
      </c>
      <c r="J592" t="s">
        <v>99</v>
      </c>
      <c r="K592" t="s">
        <v>113</v>
      </c>
      <c r="L592" s="13">
        <v>44887.363807870373</v>
      </c>
      <c r="M592" s="13">
        <v>44887.363807870373</v>
      </c>
      <c r="N592" s="13"/>
      <c r="O592" t="s">
        <v>750</v>
      </c>
      <c r="P592" t="s">
        <v>99</v>
      </c>
      <c r="Q592" t="s">
        <v>99</v>
      </c>
      <c r="R592" t="s">
        <v>99</v>
      </c>
      <c r="S592" t="s">
        <v>99</v>
      </c>
      <c r="T592" t="s">
        <v>99</v>
      </c>
      <c r="U592" t="s">
        <v>99</v>
      </c>
      <c r="V592" t="s">
        <v>99</v>
      </c>
      <c r="W592" t="s">
        <v>99</v>
      </c>
      <c r="X592" t="s">
        <v>99</v>
      </c>
      <c r="Y592" t="s">
        <v>99</v>
      </c>
      <c r="Z592" t="s">
        <v>99</v>
      </c>
    </row>
    <row r="593" spans="1:26">
      <c r="A593" t="s">
        <v>4438</v>
      </c>
      <c r="B593" t="s">
        <v>94</v>
      </c>
      <c r="C593">
        <v>2014</v>
      </c>
      <c r="D593" t="s">
        <v>999</v>
      </c>
      <c r="E593" t="s">
        <v>1000</v>
      </c>
      <c r="F593" t="s">
        <v>1001</v>
      </c>
      <c r="G593" t="s">
        <v>99</v>
      </c>
      <c r="H593" t="s">
        <v>99</v>
      </c>
      <c r="I593" t="s">
        <v>1002</v>
      </c>
      <c r="J593" t="s">
        <v>99</v>
      </c>
      <c r="K593" t="s">
        <v>400</v>
      </c>
      <c r="L593" s="13">
        <v>44887.363807870373</v>
      </c>
      <c r="M593" s="13">
        <v>44887.363807870373</v>
      </c>
      <c r="N593" s="13"/>
      <c r="O593" t="s">
        <v>1003</v>
      </c>
      <c r="P593" t="s">
        <v>99</v>
      </c>
      <c r="Q593" t="s">
        <v>99</v>
      </c>
      <c r="R593" t="s">
        <v>99</v>
      </c>
      <c r="S593" t="s">
        <v>99</v>
      </c>
      <c r="T593" t="s">
        <v>99</v>
      </c>
      <c r="U593" t="s">
        <v>99</v>
      </c>
      <c r="V593" t="s">
        <v>99</v>
      </c>
      <c r="W593" t="s">
        <v>99</v>
      </c>
      <c r="X593" t="s">
        <v>99</v>
      </c>
      <c r="Y593" t="s">
        <v>99</v>
      </c>
      <c r="Z593" t="s">
        <v>99</v>
      </c>
    </row>
    <row r="594" spans="1:26">
      <c r="A594" t="s">
        <v>5792</v>
      </c>
      <c r="B594" t="s">
        <v>94</v>
      </c>
      <c r="C594">
        <v>2020</v>
      </c>
      <c r="D594" t="s">
        <v>967</v>
      </c>
      <c r="E594" t="s">
        <v>968</v>
      </c>
      <c r="F594" t="s">
        <v>969</v>
      </c>
      <c r="G594" t="s">
        <v>99</v>
      </c>
      <c r="H594" t="s">
        <v>99</v>
      </c>
      <c r="I594" t="s">
        <v>970</v>
      </c>
      <c r="J594" t="s">
        <v>99</v>
      </c>
      <c r="K594" t="s">
        <v>176</v>
      </c>
      <c r="L594" s="13">
        <v>44887.363807870373</v>
      </c>
      <c r="M594" s="13">
        <v>44887.363807870373</v>
      </c>
      <c r="N594" s="13"/>
      <c r="O594" t="s">
        <v>971</v>
      </c>
      <c r="P594" t="s">
        <v>99</v>
      </c>
      <c r="Q594" t="s">
        <v>99</v>
      </c>
      <c r="R594" t="s">
        <v>99</v>
      </c>
      <c r="S594" t="s">
        <v>99</v>
      </c>
      <c r="T594" t="s">
        <v>99</v>
      </c>
      <c r="U594" t="s">
        <v>99</v>
      </c>
      <c r="V594" t="s">
        <v>99</v>
      </c>
      <c r="W594" t="s">
        <v>99</v>
      </c>
      <c r="X594" t="s">
        <v>99</v>
      </c>
      <c r="Y594" t="s">
        <v>99</v>
      </c>
      <c r="Z594" t="s">
        <v>99</v>
      </c>
    </row>
    <row r="595" spans="1:26">
      <c r="A595" t="s">
        <v>4439</v>
      </c>
      <c r="B595" t="s">
        <v>94</v>
      </c>
      <c r="C595">
        <v>2019</v>
      </c>
      <c r="D595" t="s">
        <v>807</v>
      </c>
      <c r="E595" t="s">
        <v>808</v>
      </c>
      <c r="F595" t="s">
        <v>809</v>
      </c>
      <c r="G595" t="s">
        <v>99</v>
      </c>
      <c r="H595" t="s">
        <v>99</v>
      </c>
      <c r="I595" t="s">
        <v>810</v>
      </c>
      <c r="J595" t="s">
        <v>99</v>
      </c>
      <c r="K595" t="s">
        <v>271</v>
      </c>
      <c r="L595" s="13">
        <v>44887.363807870373</v>
      </c>
      <c r="M595" s="13">
        <v>44887.363807870373</v>
      </c>
      <c r="N595" s="13"/>
      <c r="O595" t="s">
        <v>811</v>
      </c>
      <c r="P595" t="s">
        <v>99</v>
      </c>
      <c r="Q595" t="s">
        <v>99</v>
      </c>
      <c r="R595" t="s">
        <v>99</v>
      </c>
      <c r="S595" t="s">
        <v>99</v>
      </c>
      <c r="T595" t="s">
        <v>99</v>
      </c>
      <c r="U595" t="s">
        <v>99</v>
      </c>
      <c r="V595" t="s">
        <v>99</v>
      </c>
      <c r="W595" t="s">
        <v>99</v>
      </c>
      <c r="X595" t="s">
        <v>99</v>
      </c>
      <c r="Y595" t="s">
        <v>99</v>
      </c>
      <c r="Z595" t="s">
        <v>99</v>
      </c>
    </row>
    <row r="596" spans="1:26">
      <c r="A596" t="s">
        <v>4440</v>
      </c>
      <c r="B596" t="s">
        <v>135</v>
      </c>
      <c r="C596">
        <v>2021</v>
      </c>
      <c r="D596" t="s">
        <v>673</v>
      </c>
      <c r="E596" t="s">
        <v>674</v>
      </c>
      <c r="F596" t="s">
        <v>675</v>
      </c>
      <c r="G596" t="s">
        <v>99</v>
      </c>
      <c r="H596" t="s">
        <v>99</v>
      </c>
      <c r="I596" t="s">
        <v>676</v>
      </c>
      <c r="J596" t="s">
        <v>99</v>
      </c>
      <c r="K596" t="s">
        <v>113</v>
      </c>
      <c r="L596" s="13">
        <v>44887.363807870373</v>
      </c>
      <c r="M596" s="13">
        <v>44887.363807870373</v>
      </c>
      <c r="N596" s="13"/>
      <c r="O596" t="s">
        <v>677</v>
      </c>
      <c r="P596" t="s">
        <v>99</v>
      </c>
      <c r="Q596" t="s">
        <v>870</v>
      </c>
      <c r="R596" t="s">
        <v>99</v>
      </c>
      <c r="S596" t="s">
        <v>99</v>
      </c>
      <c r="T596" t="s">
        <v>99</v>
      </c>
      <c r="U596" t="s">
        <v>99</v>
      </c>
      <c r="V596" t="s">
        <v>99</v>
      </c>
      <c r="W596" t="s">
        <v>99</v>
      </c>
      <c r="X596" t="s">
        <v>99</v>
      </c>
      <c r="Y596" t="s">
        <v>99</v>
      </c>
      <c r="Z596" t="s">
        <v>99</v>
      </c>
    </row>
    <row r="597" spans="1:26">
      <c r="A597" t="s">
        <v>5793</v>
      </c>
      <c r="B597" t="s">
        <v>135</v>
      </c>
      <c r="D597" t="s">
        <v>4416</v>
      </c>
      <c r="E597" t="s">
        <v>4417</v>
      </c>
      <c r="F597" t="s">
        <v>4418</v>
      </c>
      <c r="G597" t="s">
        <v>99</v>
      </c>
      <c r="H597" t="s">
        <v>99</v>
      </c>
      <c r="I597" t="s">
        <v>99</v>
      </c>
      <c r="J597" t="s">
        <v>4419</v>
      </c>
      <c r="K597" t="s">
        <v>99</v>
      </c>
      <c r="L597" s="13">
        <v>44887.363807870373</v>
      </c>
      <c r="M597" s="13">
        <v>44887.363807870373</v>
      </c>
      <c r="N597" s="13"/>
      <c r="O597" t="s">
        <v>99</v>
      </c>
      <c r="P597" t="s">
        <v>99</v>
      </c>
      <c r="Q597" t="s">
        <v>99</v>
      </c>
      <c r="R597" t="s">
        <v>99</v>
      </c>
      <c r="S597" t="s">
        <v>99</v>
      </c>
      <c r="T597" t="s">
        <v>99</v>
      </c>
      <c r="U597" t="s">
        <v>99</v>
      </c>
      <c r="V597" t="s">
        <v>99</v>
      </c>
      <c r="W597" t="s">
        <v>99</v>
      </c>
      <c r="X597" t="s">
        <v>4291</v>
      </c>
      <c r="Y597" t="s">
        <v>99</v>
      </c>
      <c r="Z597" t="s">
        <v>99</v>
      </c>
    </row>
    <row r="598" spans="1:26">
      <c r="A598" t="s">
        <v>5794</v>
      </c>
      <c r="B598" t="s">
        <v>135</v>
      </c>
      <c r="D598" t="s">
        <v>4344</v>
      </c>
      <c r="E598" t="s">
        <v>4345</v>
      </c>
      <c r="F598" t="s">
        <v>4346</v>
      </c>
      <c r="G598" t="s">
        <v>99</v>
      </c>
      <c r="H598" t="s">
        <v>99</v>
      </c>
      <c r="I598" t="s">
        <v>99</v>
      </c>
      <c r="J598" t="s">
        <v>4347</v>
      </c>
      <c r="K598" t="s">
        <v>99</v>
      </c>
      <c r="L598" s="13">
        <v>44887.363807870373</v>
      </c>
      <c r="M598" s="13">
        <v>44887.363807870373</v>
      </c>
      <c r="N598" s="13"/>
      <c r="O598" t="s">
        <v>99</v>
      </c>
      <c r="P598" t="s">
        <v>99</v>
      </c>
      <c r="Q598" t="s">
        <v>99</v>
      </c>
      <c r="R598" t="s">
        <v>99</v>
      </c>
      <c r="S598" t="s">
        <v>99</v>
      </c>
      <c r="T598" t="s">
        <v>99</v>
      </c>
      <c r="U598" t="s">
        <v>99</v>
      </c>
      <c r="V598" t="s">
        <v>99</v>
      </c>
      <c r="W598" t="s">
        <v>99</v>
      </c>
      <c r="X598" t="s">
        <v>4291</v>
      </c>
      <c r="Y598" t="s">
        <v>99</v>
      </c>
      <c r="Z598" t="s">
        <v>99</v>
      </c>
    </row>
    <row r="599" spans="1:26">
      <c r="A599" t="s">
        <v>4441</v>
      </c>
      <c r="B599" t="s">
        <v>94</v>
      </c>
      <c r="C599">
        <v>2019</v>
      </c>
      <c r="D599" t="s">
        <v>723</v>
      </c>
      <c r="E599" t="s">
        <v>724</v>
      </c>
      <c r="F599" t="s">
        <v>720</v>
      </c>
      <c r="G599" t="s">
        <v>99</v>
      </c>
      <c r="H599" t="s">
        <v>99</v>
      </c>
      <c r="I599" t="s">
        <v>725</v>
      </c>
      <c r="J599" t="s">
        <v>99</v>
      </c>
      <c r="K599" t="s">
        <v>271</v>
      </c>
      <c r="L599" s="13">
        <v>44887.363807870373</v>
      </c>
      <c r="M599" s="13">
        <v>44887.363807870373</v>
      </c>
      <c r="N599" s="13"/>
      <c r="O599" t="s">
        <v>726</v>
      </c>
      <c r="P599" t="s">
        <v>99</v>
      </c>
      <c r="Q599" t="s">
        <v>99</v>
      </c>
      <c r="R599" t="s">
        <v>99</v>
      </c>
      <c r="S599" t="s">
        <v>99</v>
      </c>
      <c r="T599" t="s">
        <v>99</v>
      </c>
      <c r="U599" t="s">
        <v>99</v>
      </c>
      <c r="V599" t="s">
        <v>99</v>
      </c>
      <c r="W599" t="s">
        <v>99</v>
      </c>
      <c r="X599" t="s">
        <v>99</v>
      </c>
      <c r="Y599" t="s">
        <v>99</v>
      </c>
      <c r="Z599" t="s">
        <v>99</v>
      </c>
    </row>
    <row r="600" spans="1:26">
      <c r="A600" t="s">
        <v>5795</v>
      </c>
      <c r="B600" t="s">
        <v>135</v>
      </c>
      <c r="C600">
        <v>2007</v>
      </c>
      <c r="D600" t="s">
        <v>662</v>
      </c>
      <c r="E600" t="s">
        <v>663</v>
      </c>
      <c r="F600" t="s">
        <v>664</v>
      </c>
      <c r="G600" t="s">
        <v>99</v>
      </c>
      <c r="H600" t="s">
        <v>99</v>
      </c>
      <c r="I600" t="s">
        <v>665</v>
      </c>
      <c r="J600" t="s">
        <v>99</v>
      </c>
      <c r="K600" t="s">
        <v>666</v>
      </c>
      <c r="L600" s="13">
        <v>44887.363807870373</v>
      </c>
      <c r="M600" s="13">
        <v>44887.363807870373</v>
      </c>
      <c r="N600" s="13"/>
      <c r="O600" t="s">
        <v>667</v>
      </c>
      <c r="P600" t="s">
        <v>182</v>
      </c>
      <c r="Q600" t="s">
        <v>4707</v>
      </c>
      <c r="R600" t="s">
        <v>99</v>
      </c>
      <c r="S600" t="s">
        <v>99</v>
      </c>
      <c r="T600" t="s">
        <v>99</v>
      </c>
      <c r="U600" t="s">
        <v>99</v>
      </c>
      <c r="V600" t="s">
        <v>99</v>
      </c>
      <c r="W600" t="s">
        <v>99</v>
      </c>
      <c r="X600" t="s">
        <v>99</v>
      </c>
      <c r="Y600" t="s">
        <v>99</v>
      </c>
      <c r="Z600" t="s">
        <v>99</v>
      </c>
    </row>
    <row r="601" spans="1:26">
      <c r="A601" t="s">
        <v>4442</v>
      </c>
      <c r="B601" t="s">
        <v>94</v>
      </c>
      <c r="C601">
        <v>2021</v>
      </c>
      <c r="D601" t="s">
        <v>652</v>
      </c>
      <c r="E601" t="s">
        <v>653</v>
      </c>
      <c r="F601" t="s">
        <v>654</v>
      </c>
      <c r="G601" t="s">
        <v>99</v>
      </c>
      <c r="H601" t="s">
        <v>99</v>
      </c>
      <c r="I601" t="s">
        <v>655</v>
      </c>
      <c r="J601" t="s">
        <v>99</v>
      </c>
      <c r="K601" t="s">
        <v>113</v>
      </c>
      <c r="L601" s="13">
        <v>44887.363807870373</v>
      </c>
      <c r="M601" s="13">
        <v>44887.363807870373</v>
      </c>
      <c r="N601" s="13"/>
      <c r="O601" t="s">
        <v>656</v>
      </c>
      <c r="P601" t="s">
        <v>99</v>
      </c>
      <c r="Q601" t="s">
        <v>99</v>
      </c>
      <c r="R601" t="s">
        <v>99</v>
      </c>
      <c r="S601" t="s">
        <v>99</v>
      </c>
      <c r="T601" t="s">
        <v>99</v>
      </c>
      <c r="U601" t="s">
        <v>99</v>
      </c>
      <c r="V601" t="s">
        <v>99</v>
      </c>
      <c r="W601" t="s">
        <v>99</v>
      </c>
      <c r="X601" t="s">
        <v>99</v>
      </c>
      <c r="Y601" t="s">
        <v>99</v>
      </c>
      <c r="Z601" t="s">
        <v>99</v>
      </c>
    </row>
    <row r="602" spans="1:26">
      <c r="A602" t="s">
        <v>5796</v>
      </c>
      <c r="B602" t="s">
        <v>706</v>
      </c>
      <c r="C602">
        <v>2014</v>
      </c>
      <c r="D602" t="s">
        <v>4420</v>
      </c>
      <c r="E602" t="s">
        <v>4421</v>
      </c>
      <c r="F602" t="s">
        <v>99</v>
      </c>
      <c r="G602" t="s">
        <v>99</v>
      </c>
      <c r="H602" t="s">
        <v>99</v>
      </c>
      <c r="I602" t="s">
        <v>99</v>
      </c>
      <c r="J602" t="s">
        <v>4422</v>
      </c>
      <c r="K602" t="s">
        <v>400</v>
      </c>
      <c r="L602" s="13">
        <v>44887.363807870373</v>
      </c>
      <c r="M602" s="13">
        <v>44887.363807870373</v>
      </c>
      <c r="N602" s="13"/>
      <c r="O602" t="s">
        <v>99</v>
      </c>
      <c r="P602" t="s">
        <v>99</v>
      </c>
      <c r="Q602" t="s">
        <v>99</v>
      </c>
      <c r="R602" t="s">
        <v>99</v>
      </c>
      <c r="S602" t="s">
        <v>99</v>
      </c>
      <c r="T602" t="s">
        <v>4314</v>
      </c>
      <c r="U602" t="s">
        <v>99</v>
      </c>
      <c r="V602" t="s">
        <v>99</v>
      </c>
      <c r="W602" t="s">
        <v>99</v>
      </c>
      <c r="X602" t="s">
        <v>99</v>
      </c>
      <c r="Y602" t="s">
        <v>99</v>
      </c>
      <c r="Z602" t="s">
        <v>99</v>
      </c>
    </row>
    <row r="603" spans="1:26">
      <c r="A603" t="s">
        <v>5797</v>
      </c>
      <c r="B603" t="s">
        <v>706</v>
      </c>
      <c r="C603">
        <v>2018</v>
      </c>
      <c r="D603" t="s">
        <v>4384</v>
      </c>
      <c r="E603" t="s">
        <v>4385</v>
      </c>
      <c r="F603" t="s">
        <v>99</v>
      </c>
      <c r="G603" t="s">
        <v>99</v>
      </c>
      <c r="H603" t="s">
        <v>99</v>
      </c>
      <c r="I603" t="s">
        <v>99</v>
      </c>
      <c r="J603" t="s">
        <v>4386</v>
      </c>
      <c r="K603" t="s">
        <v>384</v>
      </c>
      <c r="L603" s="13">
        <v>44887.363807870373</v>
      </c>
      <c r="M603" s="13">
        <v>44887.363807870373</v>
      </c>
      <c r="N603" s="13"/>
      <c r="O603" t="s">
        <v>99</v>
      </c>
      <c r="P603" t="s">
        <v>99</v>
      </c>
      <c r="Q603" t="s">
        <v>99</v>
      </c>
      <c r="R603" t="s">
        <v>99</v>
      </c>
      <c r="S603" t="s">
        <v>99</v>
      </c>
      <c r="T603" t="s">
        <v>4299</v>
      </c>
      <c r="U603" t="s">
        <v>99</v>
      </c>
      <c r="V603" t="s">
        <v>99</v>
      </c>
      <c r="W603" t="s">
        <v>99</v>
      </c>
      <c r="X603" t="s">
        <v>99</v>
      </c>
      <c r="Y603" t="s">
        <v>99</v>
      </c>
      <c r="Z603" t="s">
        <v>99</v>
      </c>
    </row>
    <row r="604" spans="1:26">
      <c r="A604" t="s">
        <v>5798</v>
      </c>
      <c r="B604" t="s">
        <v>135</v>
      </c>
      <c r="C604">
        <v>2020</v>
      </c>
      <c r="D604" t="s">
        <v>4371</v>
      </c>
      <c r="E604" t="s">
        <v>4372</v>
      </c>
      <c r="F604" t="s">
        <v>4373</v>
      </c>
      <c r="G604" t="s">
        <v>99</v>
      </c>
      <c r="H604" t="s">
        <v>99</v>
      </c>
      <c r="I604" t="s">
        <v>99</v>
      </c>
      <c r="J604" t="s">
        <v>4374</v>
      </c>
      <c r="K604" t="s">
        <v>176</v>
      </c>
      <c r="L604" s="13">
        <v>44887.363807870373</v>
      </c>
      <c r="M604" s="13">
        <v>44887.363807870373</v>
      </c>
      <c r="N604" s="13"/>
      <c r="O604" t="s">
        <v>99</v>
      </c>
      <c r="P604" t="s">
        <v>99</v>
      </c>
      <c r="Q604" t="s">
        <v>99</v>
      </c>
      <c r="R604" t="s">
        <v>99</v>
      </c>
      <c r="S604" t="s">
        <v>99</v>
      </c>
      <c r="T604" t="s">
        <v>99</v>
      </c>
      <c r="U604" t="s">
        <v>99</v>
      </c>
      <c r="V604" t="s">
        <v>99</v>
      </c>
      <c r="W604" t="s">
        <v>99</v>
      </c>
      <c r="X604" t="s">
        <v>4375</v>
      </c>
      <c r="Y604" t="s">
        <v>99</v>
      </c>
      <c r="Z604" t="s">
        <v>99</v>
      </c>
    </row>
    <row r="605" spans="1:26">
      <c r="A605" t="s">
        <v>5799</v>
      </c>
      <c r="B605" t="s">
        <v>135</v>
      </c>
      <c r="C605">
        <v>2021</v>
      </c>
      <c r="D605" t="s">
        <v>4348</v>
      </c>
      <c r="E605" t="s">
        <v>4349</v>
      </c>
      <c r="F605" t="s">
        <v>4350</v>
      </c>
      <c r="G605" t="s">
        <v>99</v>
      </c>
      <c r="H605" t="s">
        <v>99</v>
      </c>
      <c r="I605" t="s">
        <v>99</v>
      </c>
      <c r="J605" t="s">
        <v>4351</v>
      </c>
      <c r="K605" t="s">
        <v>113</v>
      </c>
      <c r="L605" s="13">
        <v>44887.363807870373</v>
      </c>
      <c r="M605" s="13">
        <v>44887.363807870373</v>
      </c>
      <c r="N605" s="13"/>
      <c r="O605" t="s">
        <v>99</v>
      </c>
      <c r="P605" t="s">
        <v>99</v>
      </c>
      <c r="Q605" t="s">
        <v>99</v>
      </c>
      <c r="R605" t="s">
        <v>99</v>
      </c>
      <c r="S605" t="s">
        <v>99</v>
      </c>
      <c r="T605" t="s">
        <v>99</v>
      </c>
      <c r="U605" t="s">
        <v>99</v>
      </c>
      <c r="V605" t="s">
        <v>99</v>
      </c>
      <c r="W605" t="s">
        <v>99</v>
      </c>
      <c r="X605" t="s">
        <v>4286</v>
      </c>
      <c r="Y605" t="s">
        <v>99</v>
      </c>
      <c r="Z605" t="s">
        <v>99</v>
      </c>
    </row>
    <row r="606" spans="1:26">
      <c r="A606" t="s">
        <v>5800</v>
      </c>
      <c r="B606" t="s">
        <v>135</v>
      </c>
      <c r="C606">
        <v>2021</v>
      </c>
      <c r="D606" t="s">
        <v>4335</v>
      </c>
      <c r="E606" t="s">
        <v>4336</v>
      </c>
      <c r="F606" t="s">
        <v>4337</v>
      </c>
      <c r="G606" t="s">
        <v>99</v>
      </c>
      <c r="H606" t="s">
        <v>99</v>
      </c>
      <c r="I606" t="s">
        <v>99</v>
      </c>
      <c r="J606" t="s">
        <v>4338</v>
      </c>
      <c r="K606" t="s">
        <v>113</v>
      </c>
      <c r="L606" s="13">
        <v>44887.363807870373</v>
      </c>
      <c r="M606" s="13">
        <v>44887.363807870373</v>
      </c>
      <c r="N606" s="13"/>
      <c r="O606" t="s">
        <v>99</v>
      </c>
      <c r="P606" t="s">
        <v>99</v>
      </c>
      <c r="Q606" t="s">
        <v>99</v>
      </c>
      <c r="R606" t="s">
        <v>99</v>
      </c>
      <c r="S606" t="s">
        <v>99</v>
      </c>
      <c r="T606" t="s">
        <v>99</v>
      </c>
      <c r="U606" t="s">
        <v>99</v>
      </c>
      <c r="V606" t="s">
        <v>99</v>
      </c>
      <c r="W606" t="s">
        <v>99</v>
      </c>
      <c r="X606" t="s">
        <v>4339</v>
      </c>
      <c r="Y606" t="s">
        <v>99</v>
      </c>
      <c r="Z606" t="s">
        <v>99</v>
      </c>
    </row>
    <row r="607" spans="1:26">
      <c r="A607" t="s">
        <v>4443</v>
      </c>
      <c r="B607" t="s">
        <v>135</v>
      </c>
      <c r="C607">
        <v>2020</v>
      </c>
      <c r="D607" t="s">
        <v>4327</v>
      </c>
      <c r="E607" t="s">
        <v>4328</v>
      </c>
      <c r="F607" t="s">
        <v>4329</v>
      </c>
      <c r="G607" t="s">
        <v>99</v>
      </c>
      <c r="H607" t="s">
        <v>99</v>
      </c>
      <c r="I607" t="s">
        <v>99</v>
      </c>
      <c r="J607" t="s">
        <v>4330</v>
      </c>
      <c r="K607" t="s">
        <v>176</v>
      </c>
      <c r="L607" s="13">
        <v>44887.363807870373</v>
      </c>
      <c r="M607" s="13">
        <v>44887.363807870373</v>
      </c>
      <c r="N607" s="13"/>
      <c r="O607" t="s">
        <v>99</v>
      </c>
      <c r="P607" t="s">
        <v>99</v>
      </c>
      <c r="Q607" t="s">
        <v>99</v>
      </c>
      <c r="R607" t="s">
        <v>99</v>
      </c>
      <c r="S607" t="s">
        <v>99</v>
      </c>
      <c r="T607" t="s">
        <v>99</v>
      </c>
      <c r="U607" t="s">
        <v>99</v>
      </c>
      <c r="V607" t="s">
        <v>99</v>
      </c>
      <c r="W607" t="s">
        <v>99</v>
      </c>
      <c r="X607" t="s">
        <v>4286</v>
      </c>
      <c r="Y607" t="s">
        <v>99</v>
      </c>
      <c r="Z607" t="s">
        <v>99</v>
      </c>
    </row>
    <row r="608" spans="1:26">
      <c r="A608" t="s">
        <v>5801</v>
      </c>
      <c r="B608" t="s">
        <v>135</v>
      </c>
      <c r="C608">
        <v>2019</v>
      </c>
      <c r="D608" t="s">
        <v>4315</v>
      </c>
      <c r="E608" t="s">
        <v>4316</v>
      </c>
      <c r="F608" t="s">
        <v>4317</v>
      </c>
      <c r="G608" t="s">
        <v>99</v>
      </c>
      <c r="H608" t="s">
        <v>99</v>
      </c>
      <c r="I608" t="s">
        <v>99</v>
      </c>
      <c r="J608" t="s">
        <v>4318</v>
      </c>
      <c r="K608" t="s">
        <v>271</v>
      </c>
      <c r="L608" s="13">
        <v>44887.363807870373</v>
      </c>
      <c r="M608" s="13">
        <v>44887.363807870373</v>
      </c>
      <c r="N608" s="13"/>
      <c r="O608" t="s">
        <v>99</v>
      </c>
      <c r="P608" t="s">
        <v>99</v>
      </c>
      <c r="Q608" t="s">
        <v>99</v>
      </c>
      <c r="R608" t="s">
        <v>99</v>
      </c>
      <c r="S608" t="s">
        <v>99</v>
      </c>
      <c r="T608" t="s">
        <v>99</v>
      </c>
      <c r="U608" t="s">
        <v>99</v>
      </c>
      <c r="V608" t="s">
        <v>99</v>
      </c>
      <c r="W608" t="s">
        <v>99</v>
      </c>
      <c r="X608" t="s">
        <v>4281</v>
      </c>
      <c r="Y608" t="s">
        <v>99</v>
      </c>
      <c r="Z608" t="s">
        <v>99</v>
      </c>
    </row>
    <row r="609" spans="1:26">
      <c r="A609" t="s">
        <v>4444</v>
      </c>
      <c r="B609" t="s">
        <v>135</v>
      </c>
      <c r="C609">
        <v>2021</v>
      </c>
      <c r="D609" t="s">
        <v>4304</v>
      </c>
      <c r="E609" t="s">
        <v>4305</v>
      </c>
      <c r="F609" t="s">
        <v>4284</v>
      </c>
      <c r="G609" t="s">
        <v>99</v>
      </c>
      <c r="H609" t="s">
        <v>99</v>
      </c>
      <c r="I609" t="s">
        <v>99</v>
      </c>
      <c r="J609" t="s">
        <v>4306</v>
      </c>
      <c r="K609" t="s">
        <v>113</v>
      </c>
      <c r="L609" s="13">
        <v>44887.363807870373</v>
      </c>
      <c r="M609" s="13">
        <v>44887.363807870373</v>
      </c>
      <c r="N609" s="13"/>
      <c r="O609" t="s">
        <v>99</v>
      </c>
      <c r="P609" t="s">
        <v>99</v>
      </c>
      <c r="Q609" t="s">
        <v>99</v>
      </c>
      <c r="R609" t="s">
        <v>99</v>
      </c>
      <c r="S609" t="s">
        <v>99</v>
      </c>
      <c r="T609" t="s">
        <v>99</v>
      </c>
      <c r="U609" t="s">
        <v>99</v>
      </c>
      <c r="V609" t="s">
        <v>99</v>
      </c>
      <c r="W609" t="s">
        <v>99</v>
      </c>
      <c r="X609" t="s">
        <v>4286</v>
      </c>
      <c r="Y609" t="s">
        <v>99</v>
      </c>
      <c r="Z609" t="s">
        <v>99</v>
      </c>
    </row>
    <row r="610" spans="1:26">
      <c r="A610" t="s">
        <v>4445</v>
      </c>
      <c r="B610" t="s">
        <v>135</v>
      </c>
      <c r="C610">
        <v>2022</v>
      </c>
      <c r="D610" t="s">
        <v>4340</v>
      </c>
      <c r="E610" t="s">
        <v>4341</v>
      </c>
      <c r="F610" t="s">
        <v>4342</v>
      </c>
      <c r="G610" t="s">
        <v>99</v>
      </c>
      <c r="H610" t="s">
        <v>99</v>
      </c>
      <c r="I610" t="s">
        <v>99</v>
      </c>
      <c r="J610" t="s">
        <v>4343</v>
      </c>
      <c r="K610" t="s">
        <v>123</v>
      </c>
      <c r="L610" s="13">
        <v>44887.363807870373</v>
      </c>
      <c r="M610" s="13">
        <v>44887.363807870373</v>
      </c>
      <c r="N610" s="13"/>
      <c r="O610" t="s">
        <v>99</v>
      </c>
      <c r="P610" t="s">
        <v>99</v>
      </c>
      <c r="Q610" t="s">
        <v>99</v>
      </c>
      <c r="R610" t="s">
        <v>99</v>
      </c>
      <c r="S610" t="s">
        <v>99</v>
      </c>
      <c r="T610" t="s">
        <v>99</v>
      </c>
      <c r="U610" t="s">
        <v>99</v>
      </c>
      <c r="V610" t="s">
        <v>99</v>
      </c>
      <c r="W610" t="s">
        <v>99</v>
      </c>
      <c r="X610" t="s">
        <v>4286</v>
      </c>
      <c r="Y610" t="s">
        <v>99</v>
      </c>
      <c r="Z610" t="s">
        <v>99</v>
      </c>
    </row>
    <row r="611" spans="1:26">
      <c r="A611" t="s">
        <v>4446</v>
      </c>
      <c r="B611" t="s">
        <v>135</v>
      </c>
      <c r="C611">
        <v>2014</v>
      </c>
      <c r="D611" t="s">
        <v>4323</v>
      </c>
      <c r="E611" t="s">
        <v>4324</v>
      </c>
      <c r="F611" t="s">
        <v>4325</v>
      </c>
      <c r="G611" t="s">
        <v>99</v>
      </c>
      <c r="H611" t="s">
        <v>99</v>
      </c>
      <c r="I611" t="s">
        <v>99</v>
      </c>
      <c r="J611" t="s">
        <v>4326</v>
      </c>
      <c r="K611" t="s">
        <v>400</v>
      </c>
      <c r="L611" s="13">
        <v>44887.363807870373</v>
      </c>
      <c r="M611" s="13">
        <v>44887.363807870373</v>
      </c>
      <c r="N611" s="13"/>
      <c r="O611" t="s">
        <v>99</v>
      </c>
      <c r="P611" t="s">
        <v>99</v>
      </c>
      <c r="Q611" t="s">
        <v>99</v>
      </c>
      <c r="R611" t="s">
        <v>99</v>
      </c>
      <c r="S611" t="s">
        <v>99</v>
      </c>
      <c r="T611" t="s">
        <v>99</v>
      </c>
      <c r="U611" t="s">
        <v>99</v>
      </c>
      <c r="V611" t="s">
        <v>99</v>
      </c>
      <c r="W611" t="s">
        <v>99</v>
      </c>
      <c r="X611" t="s">
        <v>4281</v>
      </c>
      <c r="Y611" t="s">
        <v>99</v>
      </c>
      <c r="Z611" t="s">
        <v>99</v>
      </c>
    </row>
    <row r="612" spans="1:26">
      <c r="A612" t="s">
        <v>5802</v>
      </c>
      <c r="B612" t="s">
        <v>135</v>
      </c>
      <c r="C612">
        <v>2019</v>
      </c>
      <c r="D612" t="s">
        <v>4300</v>
      </c>
      <c r="E612" t="s">
        <v>4301</v>
      </c>
      <c r="F612" t="s">
        <v>4302</v>
      </c>
      <c r="G612" t="s">
        <v>99</v>
      </c>
      <c r="H612" t="s">
        <v>99</v>
      </c>
      <c r="I612" t="s">
        <v>99</v>
      </c>
      <c r="J612" t="s">
        <v>4303</v>
      </c>
      <c r="K612" t="s">
        <v>271</v>
      </c>
      <c r="L612" s="13">
        <v>44887.363807870373</v>
      </c>
      <c r="M612" s="13">
        <v>44887.363807870373</v>
      </c>
      <c r="N612" s="13"/>
      <c r="O612" t="s">
        <v>99</v>
      </c>
      <c r="P612" t="s">
        <v>99</v>
      </c>
      <c r="Q612" t="s">
        <v>99</v>
      </c>
      <c r="R612" t="s">
        <v>99</v>
      </c>
      <c r="S612" t="s">
        <v>99</v>
      </c>
      <c r="T612" t="s">
        <v>99</v>
      </c>
      <c r="U612" t="s">
        <v>99</v>
      </c>
      <c r="V612" t="s">
        <v>99</v>
      </c>
      <c r="W612" t="s">
        <v>99</v>
      </c>
      <c r="X612" t="s">
        <v>4281</v>
      </c>
      <c r="Y612" t="s">
        <v>99</v>
      </c>
      <c r="Z612" t="s">
        <v>99</v>
      </c>
    </row>
    <row r="613" spans="1:26">
      <c r="A613" t="s">
        <v>4447</v>
      </c>
      <c r="B613" t="s">
        <v>135</v>
      </c>
      <c r="C613">
        <v>2022</v>
      </c>
      <c r="D613" t="s">
        <v>4282</v>
      </c>
      <c r="E613" t="s">
        <v>4283</v>
      </c>
      <c r="F613" t="s">
        <v>4284</v>
      </c>
      <c r="G613" t="s">
        <v>99</v>
      </c>
      <c r="H613" t="s">
        <v>99</v>
      </c>
      <c r="I613" t="s">
        <v>99</v>
      </c>
      <c r="J613" t="s">
        <v>4285</v>
      </c>
      <c r="K613" t="s">
        <v>123</v>
      </c>
      <c r="L613" s="13">
        <v>44887.363807870373</v>
      </c>
      <c r="M613" s="13">
        <v>44887.363807870373</v>
      </c>
      <c r="N613" s="13"/>
      <c r="O613" t="s">
        <v>99</v>
      </c>
      <c r="P613" t="s">
        <v>99</v>
      </c>
      <c r="Q613" t="s">
        <v>99</v>
      </c>
      <c r="R613" t="s">
        <v>99</v>
      </c>
      <c r="S613" t="s">
        <v>99</v>
      </c>
      <c r="T613" t="s">
        <v>99</v>
      </c>
      <c r="U613" t="s">
        <v>99</v>
      </c>
      <c r="V613" t="s">
        <v>99</v>
      </c>
      <c r="W613" t="s">
        <v>99</v>
      </c>
      <c r="X613" t="s">
        <v>4286</v>
      </c>
      <c r="Y613" t="s">
        <v>99</v>
      </c>
      <c r="Z613" t="s">
        <v>99</v>
      </c>
    </row>
    <row r="614" spans="1:26">
      <c r="A614" t="s">
        <v>5803</v>
      </c>
      <c r="B614" t="s">
        <v>135</v>
      </c>
      <c r="C614">
        <v>2021</v>
      </c>
      <c r="D614" t="s">
        <v>3619</v>
      </c>
      <c r="E614" t="s">
        <v>3620</v>
      </c>
      <c r="F614" t="s">
        <v>3621</v>
      </c>
      <c r="G614" t="s">
        <v>99</v>
      </c>
      <c r="H614" t="s">
        <v>99</v>
      </c>
      <c r="I614" t="s">
        <v>99</v>
      </c>
      <c r="J614" t="s">
        <v>3622</v>
      </c>
      <c r="K614" t="s">
        <v>113</v>
      </c>
      <c r="L614" s="13">
        <v>44887.363807870373</v>
      </c>
      <c r="M614" s="13">
        <v>44887.363807870373</v>
      </c>
      <c r="N614" s="13">
        <v>44886.598333333335</v>
      </c>
      <c r="O614" t="s">
        <v>3623</v>
      </c>
      <c r="P614" t="s">
        <v>99</v>
      </c>
      <c r="Q614" t="s">
        <v>99</v>
      </c>
      <c r="R614" t="s">
        <v>99</v>
      </c>
      <c r="S614" t="s">
        <v>5804</v>
      </c>
      <c r="T614" t="s">
        <v>99</v>
      </c>
      <c r="U614" t="s">
        <v>99</v>
      </c>
      <c r="V614" t="s">
        <v>4495</v>
      </c>
      <c r="W614" t="s">
        <v>4496</v>
      </c>
      <c r="X614" t="s">
        <v>3624</v>
      </c>
      <c r="Y614" t="s">
        <v>5805</v>
      </c>
      <c r="Z614" t="s">
        <v>99</v>
      </c>
    </row>
    <row r="615" spans="1:26">
      <c r="A615" t="s">
        <v>5806</v>
      </c>
      <c r="B615" t="s">
        <v>135</v>
      </c>
      <c r="C615">
        <v>2022</v>
      </c>
      <c r="D615" t="s">
        <v>2308</v>
      </c>
      <c r="E615" t="s">
        <v>2309</v>
      </c>
      <c r="F615" t="s">
        <v>1312</v>
      </c>
      <c r="G615" t="s">
        <v>99</v>
      </c>
      <c r="H615" t="s">
        <v>1313</v>
      </c>
      <c r="I615" t="s">
        <v>2310</v>
      </c>
      <c r="J615" t="s">
        <v>2311</v>
      </c>
      <c r="K615" t="s">
        <v>2312</v>
      </c>
      <c r="L615" s="13">
        <v>44887.363807870373</v>
      </c>
      <c r="M615" s="13">
        <v>44887.363807870373</v>
      </c>
      <c r="N615" s="13">
        <v>44886.598078703704</v>
      </c>
      <c r="O615" t="s">
        <v>2313</v>
      </c>
      <c r="P615" t="s">
        <v>2216</v>
      </c>
      <c r="Q615" t="s">
        <v>5807</v>
      </c>
      <c r="R615" t="s">
        <v>4510</v>
      </c>
      <c r="S615" t="s">
        <v>5808</v>
      </c>
      <c r="T615" t="s">
        <v>99</v>
      </c>
      <c r="U615" t="s">
        <v>99</v>
      </c>
      <c r="V615" t="s">
        <v>4495</v>
      </c>
      <c r="W615" t="s">
        <v>4496</v>
      </c>
      <c r="X615" t="s">
        <v>99</v>
      </c>
      <c r="Y615" t="s">
        <v>99</v>
      </c>
      <c r="Z615" t="s">
        <v>99</v>
      </c>
    </row>
    <row r="616" spans="1:26">
      <c r="A616" t="s">
        <v>5809</v>
      </c>
      <c r="B616" t="s">
        <v>94</v>
      </c>
      <c r="C616">
        <v>2021</v>
      </c>
      <c r="D616" t="s">
        <v>1751</v>
      </c>
      <c r="E616" t="s">
        <v>1752</v>
      </c>
      <c r="F616" t="s">
        <v>1753</v>
      </c>
      <c r="G616" t="s">
        <v>1754</v>
      </c>
      <c r="H616" t="s">
        <v>99</v>
      </c>
      <c r="I616" t="s">
        <v>99</v>
      </c>
      <c r="J616" t="s">
        <v>1755</v>
      </c>
      <c r="K616" t="s">
        <v>113</v>
      </c>
      <c r="L616" s="13">
        <v>44887.363807870373</v>
      </c>
      <c r="M616" s="13">
        <v>44887.363807870373</v>
      </c>
      <c r="N616" s="13">
        <v>44886.598263888889</v>
      </c>
      <c r="O616" t="s">
        <v>1756</v>
      </c>
      <c r="P616" t="s">
        <v>99</v>
      </c>
      <c r="Q616" t="s">
        <v>99</v>
      </c>
      <c r="R616" t="s">
        <v>99</v>
      </c>
      <c r="S616" t="s">
        <v>99</v>
      </c>
      <c r="T616" t="s">
        <v>1226</v>
      </c>
      <c r="U616" t="s">
        <v>1227</v>
      </c>
      <c r="V616" t="s">
        <v>4495</v>
      </c>
      <c r="W616" t="s">
        <v>4496</v>
      </c>
      <c r="X616" t="s">
        <v>1757</v>
      </c>
      <c r="Y616" t="s">
        <v>99</v>
      </c>
      <c r="Z616" t="s">
        <v>99</v>
      </c>
    </row>
    <row r="617" spans="1:26">
      <c r="A617" t="s">
        <v>5810</v>
      </c>
      <c r="B617" t="s">
        <v>135</v>
      </c>
      <c r="C617">
        <v>2020</v>
      </c>
      <c r="D617" t="s">
        <v>4062</v>
      </c>
      <c r="E617" t="s">
        <v>4063</v>
      </c>
      <c r="F617" t="s">
        <v>3943</v>
      </c>
      <c r="G617" t="s">
        <v>99</v>
      </c>
      <c r="H617" t="s">
        <v>99</v>
      </c>
      <c r="I617" t="s">
        <v>99</v>
      </c>
      <c r="J617" t="s">
        <v>4064</v>
      </c>
      <c r="K617" t="s">
        <v>176</v>
      </c>
      <c r="L617" s="13">
        <v>44887.363807870373</v>
      </c>
      <c r="M617" s="13">
        <v>44887.363807870373</v>
      </c>
      <c r="N617" s="13"/>
      <c r="O617" t="s">
        <v>99</v>
      </c>
      <c r="P617" t="s">
        <v>99</v>
      </c>
      <c r="Q617" t="s">
        <v>5811</v>
      </c>
      <c r="R617" t="s">
        <v>99</v>
      </c>
      <c r="S617" t="s">
        <v>99</v>
      </c>
      <c r="T617" t="s">
        <v>99</v>
      </c>
      <c r="U617" t="s">
        <v>99</v>
      </c>
      <c r="V617" t="s">
        <v>99</v>
      </c>
      <c r="W617" t="s">
        <v>99</v>
      </c>
      <c r="X617" t="s">
        <v>4065</v>
      </c>
      <c r="Y617" t="s">
        <v>99</v>
      </c>
      <c r="Z617" t="s">
        <v>99</v>
      </c>
    </row>
    <row r="618" spans="1:26">
      <c r="A618" t="s">
        <v>5812</v>
      </c>
      <c r="B618" t="s">
        <v>135</v>
      </c>
      <c r="C618">
        <v>2013</v>
      </c>
      <c r="D618" t="s">
        <v>3867</v>
      </c>
      <c r="E618" t="s">
        <v>3868</v>
      </c>
      <c r="F618" t="s">
        <v>3869</v>
      </c>
      <c r="G618" t="s">
        <v>99</v>
      </c>
      <c r="H618" t="s">
        <v>3870</v>
      </c>
      <c r="I618" t="s">
        <v>3871</v>
      </c>
      <c r="J618" t="s">
        <v>3872</v>
      </c>
      <c r="K618" t="s">
        <v>3873</v>
      </c>
      <c r="L618" s="13">
        <v>44887.363807870373</v>
      </c>
      <c r="M618" s="13">
        <v>44887.363807870373</v>
      </c>
      <c r="N618" s="13">
        <v>44886.598449074074</v>
      </c>
      <c r="O618" t="s">
        <v>3874</v>
      </c>
      <c r="P618" t="s">
        <v>288</v>
      </c>
      <c r="Q618" t="s">
        <v>4573</v>
      </c>
      <c r="R618" t="s">
        <v>5813</v>
      </c>
      <c r="S618" t="s">
        <v>99</v>
      </c>
      <c r="T618" t="s">
        <v>99</v>
      </c>
      <c r="U618" t="s">
        <v>99</v>
      </c>
      <c r="V618" t="s">
        <v>4495</v>
      </c>
      <c r="W618" t="s">
        <v>4496</v>
      </c>
      <c r="X618" t="s">
        <v>99</v>
      </c>
      <c r="Y618" t="s">
        <v>99</v>
      </c>
      <c r="Z618" t="s">
        <v>99</v>
      </c>
    </row>
    <row r="619" spans="1:26">
      <c r="A619" t="s">
        <v>5814</v>
      </c>
      <c r="B619" t="s">
        <v>94</v>
      </c>
      <c r="C619">
        <v>2011</v>
      </c>
      <c r="D619" t="s">
        <v>4265</v>
      </c>
      <c r="E619" t="s">
        <v>4266</v>
      </c>
      <c r="F619" t="s">
        <v>4267</v>
      </c>
      <c r="G619" t="s">
        <v>99</v>
      </c>
      <c r="H619" t="s">
        <v>99</v>
      </c>
      <c r="I619" t="s">
        <v>4268</v>
      </c>
      <c r="J619" t="s">
        <v>4269</v>
      </c>
      <c r="K619" t="s">
        <v>102</v>
      </c>
      <c r="L619" s="13">
        <v>44887.363807870373</v>
      </c>
      <c r="M619" s="13">
        <v>44887.363807870373</v>
      </c>
      <c r="N619" s="13"/>
      <c r="O619" t="s">
        <v>4270</v>
      </c>
      <c r="P619" t="s">
        <v>99</v>
      </c>
      <c r="Q619" t="s">
        <v>99</v>
      </c>
      <c r="R619" t="s">
        <v>99</v>
      </c>
      <c r="S619" t="s">
        <v>99</v>
      </c>
      <c r="T619" t="s">
        <v>15</v>
      </c>
      <c r="U619" t="s">
        <v>99</v>
      </c>
      <c r="V619" t="s">
        <v>99</v>
      </c>
      <c r="W619" t="s">
        <v>99</v>
      </c>
      <c r="X619" t="s">
        <v>99</v>
      </c>
      <c r="Y619" t="s">
        <v>5815</v>
      </c>
      <c r="Z619" t="s">
        <v>99</v>
      </c>
    </row>
    <row r="620" spans="1:26">
      <c r="A620" t="s">
        <v>5816</v>
      </c>
      <c r="B620" t="s">
        <v>94</v>
      </c>
      <c r="C620">
        <v>2019</v>
      </c>
      <c r="D620" t="s">
        <v>4225</v>
      </c>
      <c r="E620" t="s">
        <v>4226</v>
      </c>
      <c r="F620" t="s">
        <v>4227</v>
      </c>
      <c r="G620" t="s">
        <v>99</v>
      </c>
      <c r="H620" t="s">
        <v>99</v>
      </c>
      <c r="I620" t="s">
        <v>4228</v>
      </c>
      <c r="J620" t="s">
        <v>4229</v>
      </c>
      <c r="K620" t="s">
        <v>271</v>
      </c>
      <c r="L620" s="13">
        <v>44887.363807870373</v>
      </c>
      <c r="M620" s="13">
        <v>44887.363807870373</v>
      </c>
      <c r="N620" s="13"/>
      <c r="O620" t="s">
        <v>4230</v>
      </c>
      <c r="P620" t="s">
        <v>99</v>
      </c>
      <c r="Q620" t="s">
        <v>99</v>
      </c>
      <c r="R620" t="s">
        <v>99</v>
      </c>
      <c r="S620" t="s">
        <v>99</v>
      </c>
      <c r="T620" t="s">
        <v>15</v>
      </c>
      <c r="U620" t="s">
        <v>99</v>
      </c>
      <c r="V620" t="s">
        <v>99</v>
      </c>
      <c r="W620" t="s">
        <v>99</v>
      </c>
      <c r="X620" t="s">
        <v>99</v>
      </c>
      <c r="Y620" t="s">
        <v>99</v>
      </c>
      <c r="Z620" t="s">
        <v>99</v>
      </c>
    </row>
    <row r="621" spans="1:26">
      <c r="A621" t="s">
        <v>5817</v>
      </c>
      <c r="B621" t="s">
        <v>135</v>
      </c>
      <c r="C621">
        <v>2014</v>
      </c>
      <c r="D621" t="s">
        <v>1444</v>
      </c>
      <c r="E621" t="s">
        <v>2195</v>
      </c>
      <c r="F621" t="s">
        <v>2196</v>
      </c>
      <c r="G621" t="s">
        <v>99</v>
      </c>
      <c r="H621" t="s">
        <v>2197</v>
      </c>
      <c r="I621" t="s">
        <v>2198</v>
      </c>
      <c r="J621" t="s">
        <v>2199</v>
      </c>
      <c r="K621" t="s">
        <v>2200</v>
      </c>
      <c r="L621" s="13">
        <v>44887.363807870373</v>
      </c>
      <c r="M621" s="13">
        <v>44887.363807870373</v>
      </c>
      <c r="N621" s="13">
        <v>44886.598182870373</v>
      </c>
      <c r="O621" t="s">
        <v>2201</v>
      </c>
      <c r="P621" t="s">
        <v>500</v>
      </c>
      <c r="Q621" t="s">
        <v>5750</v>
      </c>
      <c r="R621" t="s">
        <v>5818</v>
      </c>
      <c r="S621" t="s">
        <v>99</v>
      </c>
      <c r="T621" t="s">
        <v>99</v>
      </c>
      <c r="U621" t="s">
        <v>99</v>
      </c>
      <c r="V621" t="s">
        <v>4495</v>
      </c>
      <c r="W621" t="s">
        <v>4496</v>
      </c>
      <c r="X621" t="s">
        <v>99</v>
      </c>
      <c r="Y621" t="s">
        <v>99</v>
      </c>
      <c r="Z621" t="s">
        <v>99</v>
      </c>
    </row>
    <row r="622" spans="1:26">
      <c r="A622" t="s">
        <v>4448</v>
      </c>
      <c r="B622" t="s">
        <v>135</v>
      </c>
      <c r="C622">
        <v>2022</v>
      </c>
      <c r="D622" t="s">
        <v>1304</v>
      </c>
      <c r="E622" t="s">
        <v>1305</v>
      </c>
      <c r="F622" t="s">
        <v>1265</v>
      </c>
      <c r="G622" t="s">
        <v>99</v>
      </c>
      <c r="H622" t="s">
        <v>1266</v>
      </c>
      <c r="I622" t="s">
        <v>1306</v>
      </c>
      <c r="J622" t="s">
        <v>1307</v>
      </c>
      <c r="K622" t="s">
        <v>1308</v>
      </c>
      <c r="L622" s="13">
        <v>44887.363807870373</v>
      </c>
      <c r="M622" s="13">
        <v>44887.363807870373</v>
      </c>
      <c r="N622" s="13">
        <v>44886.597951388889</v>
      </c>
      <c r="O622" t="s">
        <v>1309</v>
      </c>
      <c r="P622" t="s">
        <v>288</v>
      </c>
      <c r="Q622" t="s">
        <v>4512</v>
      </c>
      <c r="R622" t="s">
        <v>4513</v>
      </c>
      <c r="S622" t="s">
        <v>99</v>
      </c>
      <c r="T622" t="s">
        <v>99</v>
      </c>
      <c r="U622" t="s">
        <v>99</v>
      </c>
      <c r="V622" t="s">
        <v>4495</v>
      </c>
      <c r="W622" t="s">
        <v>4496</v>
      </c>
      <c r="X622" t="s">
        <v>99</v>
      </c>
      <c r="Y622" t="s">
        <v>99</v>
      </c>
      <c r="Z622" t="s">
        <v>99</v>
      </c>
    </row>
    <row r="623" spans="1:26">
      <c r="A623" t="s">
        <v>5819</v>
      </c>
      <c r="B623" t="s">
        <v>94</v>
      </c>
      <c r="C623">
        <v>2022</v>
      </c>
      <c r="D623" t="s">
        <v>4206</v>
      </c>
      <c r="E623" t="s">
        <v>4207</v>
      </c>
      <c r="F623" t="s">
        <v>4208</v>
      </c>
      <c r="G623" t="s">
        <v>99</v>
      </c>
      <c r="H623" t="s">
        <v>99</v>
      </c>
      <c r="I623" t="s">
        <v>4209</v>
      </c>
      <c r="J623" t="s">
        <v>4210</v>
      </c>
      <c r="K623" t="s">
        <v>123</v>
      </c>
      <c r="L623" s="13">
        <v>44887.363807870373</v>
      </c>
      <c r="M623" s="13">
        <v>44887.363807870373</v>
      </c>
      <c r="N623" s="13"/>
      <c r="O623" t="s">
        <v>4211</v>
      </c>
      <c r="P623" t="s">
        <v>99</v>
      </c>
      <c r="Q623" t="s">
        <v>99</v>
      </c>
      <c r="R623" t="s">
        <v>99</v>
      </c>
      <c r="S623" t="s">
        <v>99</v>
      </c>
      <c r="T623" t="s">
        <v>4114</v>
      </c>
      <c r="U623" t="s">
        <v>99</v>
      </c>
      <c r="V623" t="s">
        <v>99</v>
      </c>
      <c r="W623" t="s">
        <v>99</v>
      </c>
      <c r="X623" t="s">
        <v>99</v>
      </c>
      <c r="Y623" t="s">
        <v>5820</v>
      </c>
      <c r="Z623" t="s">
        <v>99</v>
      </c>
    </row>
    <row r="624" spans="1:26">
      <c r="A624" t="s">
        <v>4449</v>
      </c>
      <c r="B624" t="s">
        <v>94</v>
      </c>
      <c r="C624">
        <v>2022</v>
      </c>
      <c r="D624" t="s">
        <v>4194</v>
      </c>
      <c r="E624" t="s">
        <v>4200</v>
      </c>
      <c r="F624" t="s">
        <v>4201</v>
      </c>
      <c r="G624" t="s">
        <v>99</v>
      </c>
      <c r="H624" t="s">
        <v>99</v>
      </c>
      <c r="I624" t="s">
        <v>4202</v>
      </c>
      <c r="J624" t="s">
        <v>4203</v>
      </c>
      <c r="K624" t="s">
        <v>123</v>
      </c>
      <c r="L624" s="13">
        <v>44887.363807870373</v>
      </c>
      <c r="M624" s="13">
        <v>44887.363807870373</v>
      </c>
      <c r="N624" s="13"/>
      <c r="O624" t="s">
        <v>4204</v>
      </c>
      <c r="P624" t="s">
        <v>99</v>
      </c>
      <c r="Q624" t="s">
        <v>5821</v>
      </c>
      <c r="R624" t="s">
        <v>99</v>
      </c>
      <c r="S624" t="s">
        <v>99</v>
      </c>
      <c r="T624" t="s">
        <v>4205</v>
      </c>
      <c r="U624" t="s">
        <v>99</v>
      </c>
      <c r="V624" t="s">
        <v>99</v>
      </c>
      <c r="W624" t="s">
        <v>99</v>
      </c>
      <c r="X624" t="s">
        <v>99</v>
      </c>
      <c r="Y624" t="s">
        <v>5822</v>
      </c>
      <c r="Z624" t="s">
        <v>99</v>
      </c>
    </row>
    <row r="625" spans="1:26">
      <c r="A625" t="s">
        <v>5823</v>
      </c>
      <c r="B625" t="s">
        <v>94</v>
      </c>
      <c r="C625">
        <v>2008</v>
      </c>
      <c r="D625" t="s">
        <v>4190</v>
      </c>
      <c r="E625" t="s">
        <v>4191</v>
      </c>
      <c r="F625" t="s">
        <v>4192</v>
      </c>
      <c r="G625" t="s">
        <v>99</v>
      </c>
      <c r="H625" t="s">
        <v>99</v>
      </c>
      <c r="I625" t="s">
        <v>99</v>
      </c>
      <c r="J625" t="s">
        <v>99</v>
      </c>
      <c r="K625" t="s">
        <v>736</v>
      </c>
      <c r="L625" s="13">
        <v>44887.363807870373</v>
      </c>
      <c r="M625" s="13">
        <v>44887.363807870373</v>
      </c>
      <c r="N625" s="13"/>
      <c r="O625" t="s">
        <v>4193</v>
      </c>
      <c r="P625" t="s">
        <v>99</v>
      </c>
      <c r="Q625" t="s">
        <v>99</v>
      </c>
      <c r="R625" t="s">
        <v>99</v>
      </c>
      <c r="S625" t="s">
        <v>99</v>
      </c>
      <c r="T625" t="s">
        <v>4189</v>
      </c>
      <c r="U625" t="s">
        <v>99</v>
      </c>
      <c r="V625" t="s">
        <v>99</v>
      </c>
      <c r="W625" t="s">
        <v>99</v>
      </c>
      <c r="X625" t="s">
        <v>99</v>
      </c>
      <c r="Y625" t="s">
        <v>5824</v>
      </c>
      <c r="Z625" t="s">
        <v>99</v>
      </c>
    </row>
    <row r="626" spans="1:26">
      <c r="A626" t="s">
        <v>5825</v>
      </c>
      <c r="B626" t="s">
        <v>94</v>
      </c>
      <c r="C626">
        <v>2009</v>
      </c>
      <c r="D626" t="s">
        <v>4185</v>
      </c>
      <c r="E626" t="s">
        <v>4186</v>
      </c>
      <c r="F626" t="s">
        <v>4187</v>
      </c>
      <c r="G626" t="s">
        <v>99</v>
      </c>
      <c r="H626" t="s">
        <v>99</v>
      </c>
      <c r="I626" t="s">
        <v>99</v>
      </c>
      <c r="J626" t="s">
        <v>99</v>
      </c>
      <c r="K626" t="s">
        <v>615</v>
      </c>
      <c r="L626" s="13">
        <v>44887.363807870373</v>
      </c>
      <c r="M626" s="13">
        <v>44887.363807870373</v>
      </c>
      <c r="N626" s="13"/>
      <c r="O626" t="s">
        <v>4188</v>
      </c>
      <c r="P626" t="s">
        <v>99</v>
      </c>
      <c r="Q626" t="s">
        <v>99</v>
      </c>
      <c r="R626" t="s">
        <v>99</v>
      </c>
      <c r="S626" t="s">
        <v>99</v>
      </c>
      <c r="T626" t="s">
        <v>4189</v>
      </c>
      <c r="U626" t="s">
        <v>99</v>
      </c>
      <c r="V626" t="s">
        <v>99</v>
      </c>
      <c r="W626" t="s">
        <v>99</v>
      </c>
      <c r="X626" t="s">
        <v>99</v>
      </c>
      <c r="Y626" t="s">
        <v>5826</v>
      </c>
      <c r="Z626" t="s">
        <v>99</v>
      </c>
    </row>
    <row r="627" spans="1:26">
      <c r="A627" t="s">
        <v>5827</v>
      </c>
      <c r="B627" t="s">
        <v>94</v>
      </c>
      <c r="C627">
        <v>2015</v>
      </c>
      <c r="D627" t="s">
        <v>4173</v>
      </c>
      <c r="E627" t="s">
        <v>4174</v>
      </c>
      <c r="F627" t="s">
        <v>4175</v>
      </c>
      <c r="G627" t="s">
        <v>99</v>
      </c>
      <c r="H627" t="s">
        <v>99</v>
      </c>
      <c r="I627" t="s">
        <v>4176</v>
      </c>
      <c r="J627" t="s">
        <v>4177</v>
      </c>
      <c r="K627" t="s">
        <v>564</v>
      </c>
      <c r="L627" s="13">
        <v>44887.363807870373</v>
      </c>
      <c r="M627" s="13">
        <v>44887.363807870373</v>
      </c>
      <c r="N627" s="13"/>
      <c r="O627" t="s">
        <v>4178</v>
      </c>
      <c r="P627" t="s">
        <v>99</v>
      </c>
      <c r="Q627" t="s">
        <v>99</v>
      </c>
      <c r="R627" t="s">
        <v>99</v>
      </c>
      <c r="S627" t="s">
        <v>99</v>
      </c>
      <c r="T627" t="s">
        <v>4072</v>
      </c>
      <c r="U627" t="s">
        <v>99</v>
      </c>
      <c r="V627" t="s">
        <v>99</v>
      </c>
      <c r="W627" t="s">
        <v>99</v>
      </c>
      <c r="X627" t="s">
        <v>99</v>
      </c>
      <c r="Y627" t="s">
        <v>99</v>
      </c>
      <c r="Z627" t="s">
        <v>99</v>
      </c>
    </row>
    <row r="628" spans="1:26">
      <c r="A628" t="s">
        <v>4450</v>
      </c>
      <c r="B628" t="s">
        <v>94</v>
      </c>
      <c r="C628">
        <v>2021</v>
      </c>
      <c r="D628" t="s">
        <v>4163</v>
      </c>
      <c r="E628" t="s">
        <v>4164</v>
      </c>
      <c r="F628" t="s">
        <v>3943</v>
      </c>
      <c r="G628" t="s">
        <v>99</v>
      </c>
      <c r="H628" t="s">
        <v>99</v>
      </c>
      <c r="I628" t="s">
        <v>99</v>
      </c>
      <c r="J628" t="s">
        <v>4165</v>
      </c>
      <c r="K628" t="s">
        <v>113</v>
      </c>
      <c r="L628" s="13">
        <v>44887.363807870373</v>
      </c>
      <c r="M628" s="13">
        <v>44887.363807870373</v>
      </c>
      <c r="N628" s="13"/>
      <c r="O628" t="s">
        <v>99</v>
      </c>
      <c r="P628" t="s">
        <v>99</v>
      </c>
      <c r="Q628" t="s">
        <v>5828</v>
      </c>
      <c r="R628" t="s">
        <v>99</v>
      </c>
      <c r="S628" t="s">
        <v>99</v>
      </c>
      <c r="T628" t="s">
        <v>99</v>
      </c>
      <c r="U628" t="s">
        <v>99</v>
      </c>
      <c r="V628" t="s">
        <v>99</v>
      </c>
      <c r="W628" t="s">
        <v>99</v>
      </c>
      <c r="X628" t="s">
        <v>4166</v>
      </c>
      <c r="Y628" t="s">
        <v>99</v>
      </c>
      <c r="Z628" t="s">
        <v>99</v>
      </c>
    </row>
    <row r="629" spans="1:26">
      <c r="A629" t="s">
        <v>4451</v>
      </c>
      <c r="B629" t="s">
        <v>94</v>
      </c>
      <c r="C629">
        <v>2018</v>
      </c>
      <c r="D629" t="s">
        <v>4158</v>
      </c>
      <c r="E629" t="s">
        <v>4159</v>
      </c>
      <c r="F629" t="s">
        <v>4160</v>
      </c>
      <c r="G629" t="s">
        <v>99</v>
      </c>
      <c r="H629" t="s">
        <v>99</v>
      </c>
      <c r="I629" t="s">
        <v>99</v>
      </c>
      <c r="J629" t="s">
        <v>4161</v>
      </c>
      <c r="K629" t="s">
        <v>384</v>
      </c>
      <c r="L629" s="13">
        <v>44887.363807870373</v>
      </c>
      <c r="M629" s="13">
        <v>44887.363807870373</v>
      </c>
      <c r="N629" s="13"/>
      <c r="O629" t="s">
        <v>4162</v>
      </c>
      <c r="P629" t="s">
        <v>99</v>
      </c>
      <c r="Q629" t="s">
        <v>5829</v>
      </c>
      <c r="R629" t="s">
        <v>99</v>
      </c>
      <c r="S629" t="s">
        <v>99</v>
      </c>
      <c r="T629" t="s">
        <v>3958</v>
      </c>
      <c r="U629" t="s">
        <v>99</v>
      </c>
      <c r="V629" t="s">
        <v>99</v>
      </c>
      <c r="W629" t="s">
        <v>99</v>
      </c>
      <c r="X629" t="s">
        <v>99</v>
      </c>
      <c r="Y629" t="s">
        <v>5830</v>
      </c>
      <c r="Z629" t="s">
        <v>99</v>
      </c>
    </row>
    <row r="630" spans="1:26">
      <c r="A630" t="s">
        <v>4452</v>
      </c>
      <c r="B630" t="s">
        <v>135</v>
      </c>
      <c r="C630">
        <v>2022</v>
      </c>
      <c r="D630" t="s">
        <v>4194</v>
      </c>
      <c r="E630" t="s">
        <v>4195</v>
      </c>
      <c r="F630" t="s">
        <v>4196</v>
      </c>
      <c r="G630" t="s">
        <v>99</v>
      </c>
      <c r="H630" t="s">
        <v>99</v>
      </c>
      <c r="I630" t="s">
        <v>4197</v>
      </c>
      <c r="J630" t="s">
        <v>4198</v>
      </c>
      <c r="K630" t="s">
        <v>123</v>
      </c>
      <c r="L630" s="13">
        <v>44887.363807870373</v>
      </c>
      <c r="M630" s="13">
        <v>44887.363807870373</v>
      </c>
      <c r="N630" s="13"/>
      <c r="O630" t="s">
        <v>4199</v>
      </c>
      <c r="P630" t="s">
        <v>99</v>
      </c>
      <c r="Q630" t="s">
        <v>99</v>
      </c>
      <c r="R630" t="s">
        <v>99</v>
      </c>
      <c r="S630" t="s">
        <v>99</v>
      </c>
      <c r="T630" t="s">
        <v>99</v>
      </c>
      <c r="U630" t="s">
        <v>99</v>
      </c>
      <c r="V630" t="s">
        <v>99</v>
      </c>
      <c r="W630" t="s">
        <v>99</v>
      </c>
      <c r="X630" t="s">
        <v>99</v>
      </c>
      <c r="Y630" t="s">
        <v>5831</v>
      </c>
      <c r="Z630" t="s">
        <v>99</v>
      </c>
    </row>
    <row r="631" spans="1:26">
      <c r="A631" t="s">
        <v>5832</v>
      </c>
      <c r="B631" t="s">
        <v>94</v>
      </c>
      <c r="C631">
        <v>2019</v>
      </c>
      <c r="D631" t="s">
        <v>4154</v>
      </c>
      <c r="E631" t="s">
        <v>4155</v>
      </c>
      <c r="F631" t="s">
        <v>4156</v>
      </c>
      <c r="G631" t="s">
        <v>99</v>
      </c>
      <c r="H631" t="s">
        <v>99</v>
      </c>
      <c r="I631" t="s">
        <v>99</v>
      </c>
      <c r="J631" t="s">
        <v>4157</v>
      </c>
      <c r="K631" t="s">
        <v>271</v>
      </c>
      <c r="L631" s="13">
        <v>44887.363807870373</v>
      </c>
      <c r="M631" s="13">
        <v>44887.363807870373</v>
      </c>
      <c r="N631" s="13"/>
      <c r="O631" t="s">
        <v>99</v>
      </c>
      <c r="P631" t="s">
        <v>99</v>
      </c>
      <c r="Q631" t="s">
        <v>5833</v>
      </c>
      <c r="R631" t="s">
        <v>99</v>
      </c>
      <c r="S631" t="s">
        <v>99</v>
      </c>
      <c r="T631" t="s">
        <v>3958</v>
      </c>
      <c r="U631" t="s">
        <v>99</v>
      </c>
      <c r="V631" t="s">
        <v>99</v>
      </c>
      <c r="W631" t="s">
        <v>99</v>
      </c>
      <c r="X631" t="s">
        <v>99</v>
      </c>
      <c r="Y631" t="s">
        <v>5834</v>
      </c>
      <c r="Z631" t="s">
        <v>99</v>
      </c>
    </row>
    <row r="632" spans="1:26">
      <c r="A632" t="s">
        <v>5835</v>
      </c>
      <c r="B632" t="s">
        <v>135</v>
      </c>
      <c r="C632">
        <v>2020</v>
      </c>
      <c r="D632" t="s">
        <v>4148</v>
      </c>
      <c r="E632" t="s">
        <v>4149</v>
      </c>
      <c r="F632" t="s">
        <v>4150</v>
      </c>
      <c r="G632" t="s">
        <v>99</v>
      </c>
      <c r="H632" t="s">
        <v>99</v>
      </c>
      <c r="I632" t="s">
        <v>4151</v>
      </c>
      <c r="J632" t="s">
        <v>4152</v>
      </c>
      <c r="K632" t="s">
        <v>176</v>
      </c>
      <c r="L632" s="13">
        <v>44887.363807870373</v>
      </c>
      <c r="M632" s="13">
        <v>44887.363807870373</v>
      </c>
      <c r="N632" s="13"/>
      <c r="O632" t="s">
        <v>4153</v>
      </c>
      <c r="P632" t="s">
        <v>99</v>
      </c>
      <c r="Q632" t="s">
        <v>5836</v>
      </c>
      <c r="R632" t="s">
        <v>99</v>
      </c>
      <c r="S632" t="s">
        <v>99</v>
      </c>
      <c r="T632" t="s">
        <v>99</v>
      </c>
      <c r="U632" t="s">
        <v>99</v>
      </c>
      <c r="V632" t="s">
        <v>99</v>
      </c>
      <c r="W632" t="s">
        <v>99</v>
      </c>
      <c r="X632" t="s">
        <v>99</v>
      </c>
      <c r="Y632" t="s">
        <v>99</v>
      </c>
      <c r="Z632" t="s">
        <v>99</v>
      </c>
    </row>
    <row r="633" spans="1:26">
      <c r="A633" t="s">
        <v>4453</v>
      </c>
      <c r="B633" t="s">
        <v>135</v>
      </c>
      <c r="C633">
        <v>2021</v>
      </c>
      <c r="D633" t="s">
        <v>4144</v>
      </c>
      <c r="E633" t="s">
        <v>4145</v>
      </c>
      <c r="F633" t="s">
        <v>3943</v>
      </c>
      <c r="G633" t="s">
        <v>99</v>
      </c>
      <c r="H633" t="s">
        <v>99</v>
      </c>
      <c r="I633" t="s">
        <v>99</v>
      </c>
      <c r="J633" t="s">
        <v>4146</v>
      </c>
      <c r="K633" t="s">
        <v>113</v>
      </c>
      <c r="L633" s="13">
        <v>44887.363807870373</v>
      </c>
      <c r="M633" s="13">
        <v>44887.363807870373</v>
      </c>
      <c r="N633" s="13"/>
      <c r="O633" t="s">
        <v>99</v>
      </c>
      <c r="P633" t="s">
        <v>99</v>
      </c>
      <c r="Q633" t="s">
        <v>5837</v>
      </c>
      <c r="R633" t="s">
        <v>99</v>
      </c>
      <c r="S633" t="s">
        <v>99</v>
      </c>
      <c r="T633" t="s">
        <v>99</v>
      </c>
      <c r="U633" t="s">
        <v>99</v>
      </c>
      <c r="V633" t="s">
        <v>99</v>
      </c>
      <c r="W633" t="s">
        <v>99</v>
      </c>
      <c r="X633" t="s">
        <v>4147</v>
      </c>
      <c r="Y633" t="s">
        <v>99</v>
      </c>
      <c r="Z633" t="s">
        <v>99</v>
      </c>
    </row>
    <row r="634" spans="1:26">
      <c r="A634" t="s">
        <v>4454</v>
      </c>
      <c r="B634" t="s">
        <v>94</v>
      </c>
      <c r="C634">
        <v>2021</v>
      </c>
      <c r="D634" t="s">
        <v>4135</v>
      </c>
      <c r="E634" t="s">
        <v>4139</v>
      </c>
      <c r="F634" t="s">
        <v>4140</v>
      </c>
      <c r="G634" t="s">
        <v>99</v>
      </c>
      <c r="H634" t="s">
        <v>99</v>
      </c>
      <c r="I634" t="s">
        <v>4141</v>
      </c>
      <c r="J634" t="s">
        <v>4142</v>
      </c>
      <c r="K634" t="s">
        <v>113</v>
      </c>
      <c r="L634" s="13">
        <v>44887.363807870373</v>
      </c>
      <c r="M634" s="13">
        <v>44887.363807870373</v>
      </c>
      <c r="N634" s="13"/>
      <c r="O634" t="s">
        <v>4143</v>
      </c>
      <c r="P634" t="s">
        <v>99</v>
      </c>
      <c r="Q634" t="s">
        <v>99</v>
      </c>
      <c r="R634" t="s">
        <v>99</v>
      </c>
      <c r="S634" t="s">
        <v>99</v>
      </c>
      <c r="T634" t="s">
        <v>4072</v>
      </c>
      <c r="U634" t="s">
        <v>99</v>
      </c>
      <c r="V634" t="s">
        <v>99</v>
      </c>
      <c r="W634" t="s">
        <v>99</v>
      </c>
      <c r="X634" t="s">
        <v>99</v>
      </c>
      <c r="Y634" t="s">
        <v>99</v>
      </c>
      <c r="Z634" t="s">
        <v>99</v>
      </c>
    </row>
    <row r="635" spans="1:26">
      <c r="A635" t="s">
        <v>4455</v>
      </c>
      <c r="B635" t="s">
        <v>3968</v>
      </c>
      <c r="C635">
        <v>2022</v>
      </c>
      <c r="D635" t="s">
        <v>4135</v>
      </c>
      <c r="E635" t="s">
        <v>4136</v>
      </c>
      <c r="F635" t="s">
        <v>99</v>
      </c>
      <c r="G635" t="s">
        <v>99</v>
      </c>
      <c r="H635" t="s">
        <v>99</v>
      </c>
      <c r="I635" t="s">
        <v>99</v>
      </c>
      <c r="J635" t="s">
        <v>4137</v>
      </c>
      <c r="K635" t="s">
        <v>123</v>
      </c>
      <c r="L635" s="13">
        <v>44887.363807870373</v>
      </c>
      <c r="M635" s="13">
        <v>44887.363807870373</v>
      </c>
      <c r="N635" s="13"/>
      <c r="O635" t="s">
        <v>99</v>
      </c>
      <c r="P635" t="s">
        <v>99</v>
      </c>
      <c r="Q635" t="s">
        <v>99</v>
      </c>
      <c r="R635" t="s">
        <v>99</v>
      </c>
      <c r="S635" t="s">
        <v>99</v>
      </c>
      <c r="T635" t="s">
        <v>4138</v>
      </c>
      <c r="U635" t="s">
        <v>99</v>
      </c>
      <c r="V635" t="s">
        <v>99</v>
      </c>
      <c r="W635" t="s">
        <v>99</v>
      </c>
      <c r="X635" t="s">
        <v>99</v>
      </c>
      <c r="Y635" t="s">
        <v>99</v>
      </c>
      <c r="Z635" t="s">
        <v>99</v>
      </c>
    </row>
    <row r="636" spans="1:26">
      <c r="A636" t="s">
        <v>5838</v>
      </c>
      <c r="B636" t="s">
        <v>94</v>
      </c>
      <c r="C636">
        <v>2005</v>
      </c>
      <c r="D636" t="s">
        <v>4131</v>
      </c>
      <c r="E636" t="s">
        <v>4132</v>
      </c>
      <c r="F636" t="s">
        <v>4133</v>
      </c>
      <c r="G636" t="s">
        <v>99</v>
      </c>
      <c r="H636" t="s">
        <v>99</v>
      </c>
      <c r="I636" t="s">
        <v>99</v>
      </c>
      <c r="J636" t="s">
        <v>99</v>
      </c>
      <c r="K636" t="s">
        <v>846</v>
      </c>
      <c r="L636" s="13">
        <v>44887.363807870373</v>
      </c>
      <c r="M636" s="13">
        <v>44887.363807870373</v>
      </c>
      <c r="N636" s="13"/>
      <c r="O636" t="s">
        <v>4134</v>
      </c>
      <c r="P636" t="s">
        <v>99</v>
      </c>
      <c r="Q636" t="s">
        <v>99</v>
      </c>
      <c r="R636" t="s">
        <v>99</v>
      </c>
      <c r="S636" t="s">
        <v>99</v>
      </c>
      <c r="T636" t="s">
        <v>4055</v>
      </c>
      <c r="U636" t="s">
        <v>99</v>
      </c>
      <c r="V636" t="s">
        <v>99</v>
      </c>
      <c r="W636" t="s">
        <v>99</v>
      </c>
      <c r="X636" t="s">
        <v>99</v>
      </c>
      <c r="Y636" t="s">
        <v>5839</v>
      </c>
      <c r="Z636" t="s">
        <v>99</v>
      </c>
    </row>
    <row r="637" spans="1:26">
      <c r="A637" t="s">
        <v>5840</v>
      </c>
      <c r="B637" t="s">
        <v>94</v>
      </c>
      <c r="C637">
        <v>2011</v>
      </c>
      <c r="D637" t="s">
        <v>4085</v>
      </c>
      <c r="E637" t="s">
        <v>4086</v>
      </c>
      <c r="F637" t="s">
        <v>4087</v>
      </c>
      <c r="G637" t="s">
        <v>99</v>
      </c>
      <c r="H637" t="s">
        <v>99</v>
      </c>
      <c r="I637" t="s">
        <v>99</v>
      </c>
      <c r="J637" t="s">
        <v>4088</v>
      </c>
      <c r="K637" t="s">
        <v>102</v>
      </c>
      <c r="L637" s="13">
        <v>44887.363807870373</v>
      </c>
      <c r="M637" s="13">
        <v>44887.363807870373</v>
      </c>
      <c r="N637" s="13"/>
      <c r="O637" t="s">
        <v>4089</v>
      </c>
      <c r="P637" t="s">
        <v>99</v>
      </c>
      <c r="Q637" t="s">
        <v>99</v>
      </c>
      <c r="R637" t="s">
        <v>99</v>
      </c>
      <c r="S637" t="s">
        <v>99</v>
      </c>
      <c r="T637" t="s">
        <v>4090</v>
      </c>
      <c r="U637" t="s">
        <v>99</v>
      </c>
      <c r="V637" t="s">
        <v>99</v>
      </c>
      <c r="W637" t="s">
        <v>99</v>
      </c>
      <c r="X637" t="s">
        <v>99</v>
      </c>
      <c r="Y637" t="s">
        <v>5841</v>
      </c>
      <c r="Z637" t="s">
        <v>99</v>
      </c>
    </row>
    <row r="638" spans="1:26">
      <c r="A638" t="s">
        <v>4456</v>
      </c>
      <c r="B638" t="s">
        <v>94</v>
      </c>
      <c r="C638">
        <v>2016</v>
      </c>
      <c r="D638" t="s">
        <v>4066</v>
      </c>
      <c r="E638" t="s">
        <v>4067</v>
      </c>
      <c r="F638" t="s">
        <v>4068</v>
      </c>
      <c r="G638" t="s">
        <v>99</v>
      </c>
      <c r="H638" t="s">
        <v>99</v>
      </c>
      <c r="I638" t="s">
        <v>4069</v>
      </c>
      <c r="J638" t="s">
        <v>4070</v>
      </c>
      <c r="K638" t="s">
        <v>331</v>
      </c>
      <c r="L638" s="13">
        <v>44887.363807870373</v>
      </c>
      <c r="M638" s="13">
        <v>44887.363807870373</v>
      </c>
      <c r="N638" s="13"/>
      <c r="O638" t="s">
        <v>4071</v>
      </c>
      <c r="P638" t="s">
        <v>99</v>
      </c>
      <c r="Q638" t="s">
        <v>99</v>
      </c>
      <c r="R638" t="s">
        <v>99</v>
      </c>
      <c r="S638" t="s">
        <v>99</v>
      </c>
      <c r="T638" t="s">
        <v>4072</v>
      </c>
      <c r="U638" t="s">
        <v>99</v>
      </c>
      <c r="V638" t="s">
        <v>99</v>
      </c>
      <c r="W638" t="s">
        <v>99</v>
      </c>
      <c r="X638" t="s">
        <v>99</v>
      </c>
      <c r="Y638" t="s">
        <v>99</v>
      </c>
      <c r="Z638" t="s">
        <v>99</v>
      </c>
    </row>
    <row r="639" spans="1:26">
      <c r="A639" t="s">
        <v>4457</v>
      </c>
      <c r="B639" t="s">
        <v>94</v>
      </c>
      <c r="C639">
        <v>2020</v>
      </c>
      <c r="D639" t="s">
        <v>4056</v>
      </c>
      <c r="E639" t="s">
        <v>4057</v>
      </c>
      <c r="F639" t="s">
        <v>4058</v>
      </c>
      <c r="G639" t="s">
        <v>99</v>
      </c>
      <c r="H639" t="s">
        <v>99</v>
      </c>
      <c r="I639" t="s">
        <v>4059</v>
      </c>
      <c r="J639" t="s">
        <v>4060</v>
      </c>
      <c r="K639" t="s">
        <v>176</v>
      </c>
      <c r="L639" s="13">
        <v>44887.363807870373</v>
      </c>
      <c r="M639" s="13">
        <v>44887.363807870373</v>
      </c>
      <c r="N639" s="13"/>
      <c r="O639" t="s">
        <v>4061</v>
      </c>
      <c r="P639" t="s">
        <v>99</v>
      </c>
      <c r="Q639" t="s">
        <v>99</v>
      </c>
      <c r="R639" t="s">
        <v>99</v>
      </c>
      <c r="S639" t="s">
        <v>99</v>
      </c>
      <c r="T639" t="s">
        <v>15</v>
      </c>
      <c r="U639" t="s">
        <v>99</v>
      </c>
      <c r="V639" t="s">
        <v>99</v>
      </c>
      <c r="W639" t="s">
        <v>99</v>
      </c>
      <c r="X639" t="s">
        <v>99</v>
      </c>
      <c r="Y639" t="s">
        <v>5842</v>
      </c>
      <c r="Z639" t="s">
        <v>99</v>
      </c>
    </row>
    <row r="640" spans="1:26">
      <c r="A640" t="s">
        <v>4458</v>
      </c>
      <c r="B640" t="s">
        <v>135</v>
      </c>
      <c r="C640">
        <v>2018</v>
      </c>
      <c r="D640" t="s">
        <v>4091</v>
      </c>
      <c r="E640" t="s">
        <v>4092</v>
      </c>
      <c r="F640" t="s">
        <v>4093</v>
      </c>
      <c r="G640" t="s">
        <v>99</v>
      </c>
      <c r="H640" t="s">
        <v>99</v>
      </c>
      <c r="I640" t="s">
        <v>4094</v>
      </c>
      <c r="J640" t="s">
        <v>4095</v>
      </c>
      <c r="K640" t="s">
        <v>384</v>
      </c>
      <c r="L640" s="13">
        <v>44887.363807870373</v>
      </c>
      <c r="M640" s="13">
        <v>44887.363807870373</v>
      </c>
      <c r="N640" s="13"/>
      <c r="O640" t="s">
        <v>4096</v>
      </c>
      <c r="P640" t="s">
        <v>99</v>
      </c>
      <c r="Q640" t="s">
        <v>5407</v>
      </c>
      <c r="R640" t="s">
        <v>99</v>
      </c>
      <c r="S640" t="s">
        <v>99</v>
      </c>
      <c r="T640" t="s">
        <v>99</v>
      </c>
      <c r="U640" t="s">
        <v>99</v>
      </c>
      <c r="V640" t="s">
        <v>99</v>
      </c>
      <c r="W640" t="s">
        <v>99</v>
      </c>
      <c r="X640" t="s">
        <v>99</v>
      </c>
      <c r="Y640" t="s">
        <v>99</v>
      </c>
      <c r="Z640" t="s">
        <v>99</v>
      </c>
    </row>
    <row r="641" spans="1:26">
      <c r="A641" t="s">
        <v>4459</v>
      </c>
      <c r="B641" t="s">
        <v>3968</v>
      </c>
      <c r="C641">
        <v>2021</v>
      </c>
      <c r="D641" t="s">
        <v>4041</v>
      </c>
      <c r="E641" t="s">
        <v>4042</v>
      </c>
      <c r="F641" t="s">
        <v>99</v>
      </c>
      <c r="G641" t="s">
        <v>99</v>
      </c>
      <c r="H641" t="s">
        <v>99</v>
      </c>
      <c r="I641" t="s">
        <v>99</v>
      </c>
      <c r="J641" t="s">
        <v>4043</v>
      </c>
      <c r="K641" t="s">
        <v>113</v>
      </c>
      <c r="L641" s="13">
        <v>44887.363807870373</v>
      </c>
      <c r="M641" s="13">
        <v>44887.363807870373</v>
      </c>
      <c r="N641" s="13"/>
      <c r="O641" t="s">
        <v>99</v>
      </c>
      <c r="P641" t="s">
        <v>99</v>
      </c>
      <c r="Q641" t="s">
        <v>99</v>
      </c>
      <c r="R641" t="s">
        <v>99</v>
      </c>
      <c r="S641" t="s">
        <v>99</v>
      </c>
      <c r="T641" t="s">
        <v>4044</v>
      </c>
      <c r="U641" t="s">
        <v>99</v>
      </c>
      <c r="V641" t="s">
        <v>99</v>
      </c>
      <c r="W641" t="s">
        <v>99</v>
      </c>
      <c r="X641" t="s">
        <v>4045</v>
      </c>
      <c r="Y641" t="s">
        <v>99</v>
      </c>
      <c r="Z641" t="s">
        <v>99</v>
      </c>
    </row>
    <row r="642" spans="1:26">
      <c r="A642" t="s">
        <v>5843</v>
      </c>
      <c r="B642" t="s">
        <v>94</v>
      </c>
      <c r="C642">
        <v>2015</v>
      </c>
      <c r="D642" t="s">
        <v>4004</v>
      </c>
      <c r="E642" t="s">
        <v>4005</v>
      </c>
      <c r="F642" t="s">
        <v>4006</v>
      </c>
      <c r="G642" t="s">
        <v>99</v>
      </c>
      <c r="H642" t="s">
        <v>99</v>
      </c>
      <c r="I642" t="s">
        <v>4007</v>
      </c>
      <c r="J642" t="s">
        <v>4008</v>
      </c>
      <c r="K642" t="s">
        <v>564</v>
      </c>
      <c r="L642" s="13">
        <v>44887.363807870373</v>
      </c>
      <c r="M642" s="13">
        <v>44887.363807870373</v>
      </c>
      <c r="N642" s="13"/>
      <c r="O642" t="s">
        <v>4009</v>
      </c>
      <c r="P642" t="s">
        <v>99</v>
      </c>
      <c r="Q642" t="s">
        <v>99</v>
      </c>
      <c r="R642" t="s">
        <v>99</v>
      </c>
      <c r="S642" t="s">
        <v>99</v>
      </c>
      <c r="T642" t="s">
        <v>15</v>
      </c>
      <c r="U642" t="s">
        <v>99</v>
      </c>
      <c r="V642" t="s">
        <v>99</v>
      </c>
      <c r="W642" t="s">
        <v>99</v>
      </c>
      <c r="X642" t="s">
        <v>99</v>
      </c>
      <c r="Y642" t="s">
        <v>5844</v>
      </c>
      <c r="Z642" t="s">
        <v>99</v>
      </c>
    </row>
    <row r="643" spans="1:26">
      <c r="A643" t="s">
        <v>5845</v>
      </c>
      <c r="B643" t="s">
        <v>94</v>
      </c>
      <c r="C643">
        <v>2016</v>
      </c>
      <c r="D643" t="s">
        <v>3998</v>
      </c>
      <c r="E643" t="s">
        <v>3999</v>
      </c>
      <c r="F643" t="s">
        <v>4000</v>
      </c>
      <c r="G643" t="s">
        <v>99</v>
      </c>
      <c r="H643" t="s">
        <v>99</v>
      </c>
      <c r="I643" t="s">
        <v>4001</v>
      </c>
      <c r="J643" t="s">
        <v>4002</v>
      </c>
      <c r="K643" t="s">
        <v>331</v>
      </c>
      <c r="L643" s="13">
        <v>44887.363807870373</v>
      </c>
      <c r="M643" s="13">
        <v>44887.363807870373</v>
      </c>
      <c r="N643" s="13"/>
      <c r="O643" t="s">
        <v>4003</v>
      </c>
      <c r="P643" t="s">
        <v>99</v>
      </c>
      <c r="Q643" t="s">
        <v>5846</v>
      </c>
      <c r="R643" t="s">
        <v>99</v>
      </c>
      <c r="S643" t="s">
        <v>99</v>
      </c>
      <c r="T643" t="s">
        <v>16</v>
      </c>
      <c r="U643" t="s">
        <v>99</v>
      </c>
      <c r="V643" t="s">
        <v>99</v>
      </c>
      <c r="W643" t="s">
        <v>99</v>
      </c>
      <c r="X643" t="s">
        <v>99</v>
      </c>
      <c r="Y643" t="s">
        <v>5847</v>
      </c>
      <c r="Z643" t="s">
        <v>99</v>
      </c>
    </row>
    <row r="644" spans="1:26">
      <c r="A644" t="s">
        <v>5848</v>
      </c>
      <c r="B644" t="s">
        <v>94</v>
      </c>
      <c r="C644">
        <v>2004</v>
      </c>
      <c r="D644" t="s">
        <v>3973</v>
      </c>
      <c r="E644" t="s">
        <v>3974</v>
      </c>
      <c r="F644" t="s">
        <v>3975</v>
      </c>
      <c r="G644" t="s">
        <v>99</v>
      </c>
      <c r="H644" t="s">
        <v>99</v>
      </c>
      <c r="I644" t="s">
        <v>3976</v>
      </c>
      <c r="J644" t="s">
        <v>3977</v>
      </c>
      <c r="K644" t="s">
        <v>1180</v>
      </c>
      <c r="L644" s="13">
        <v>44887.363807870373</v>
      </c>
      <c r="M644" s="13">
        <v>44887.363807870373</v>
      </c>
      <c r="N644" s="13"/>
      <c r="O644" t="s">
        <v>3978</v>
      </c>
      <c r="P644" t="s">
        <v>99</v>
      </c>
      <c r="Q644" t="s">
        <v>5849</v>
      </c>
      <c r="R644" t="s">
        <v>99</v>
      </c>
      <c r="S644" t="s">
        <v>99</v>
      </c>
      <c r="T644" t="s">
        <v>16</v>
      </c>
      <c r="U644" t="s">
        <v>99</v>
      </c>
      <c r="V644" t="s">
        <v>99</v>
      </c>
      <c r="W644" t="s">
        <v>99</v>
      </c>
      <c r="X644" t="s">
        <v>99</v>
      </c>
      <c r="Y644" t="s">
        <v>5850</v>
      </c>
      <c r="Z644" t="s">
        <v>99</v>
      </c>
    </row>
    <row r="645" spans="1:26">
      <c r="A645" t="s">
        <v>5851</v>
      </c>
      <c r="B645" t="s">
        <v>3968</v>
      </c>
      <c r="C645">
        <v>2014</v>
      </c>
      <c r="D645" t="s">
        <v>3969</v>
      </c>
      <c r="E645" t="s">
        <v>3970</v>
      </c>
      <c r="F645" t="s">
        <v>99</v>
      </c>
      <c r="G645" t="s">
        <v>99</v>
      </c>
      <c r="H645" t="s">
        <v>99</v>
      </c>
      <c r="I645" t="s">
        <v>99</v>
      </c>
      <c r="J645" t="s">
        <v>3971</v>
      </c>
      <c r="K645" t="s">
        <v>400</v>
      </c>
      <c r="L645" s="13">
        <v>44887.363807870373</v>
      </c>
      <c r="M645" s="13">
        <v>44887.363807870373</v>
      </c>
      <c r="N645" s="13"/>
      <c r="O645" t="s">
        <v>99</v>
      </c>
      <c r="P645" t="s">
        <v>99</v>
      </c>
      <c r="Q645" t="s">
        <v>99</v>
      </c>
      <c r="R645" t="s">
        <v>99</v>
      </c>
      <c r="S645" t="s">
        <v>99</v>
      </c>
      <c r="T645" t="s">
        <v>3972</v>
      </c>
      <c r="U645" t="s">
        <v>99</v>
      </c>
      <c r="V645" t="s">
        <v>99</v>
      </c>
      <c r="W645" t="s">
        <v>99</v>
      </c>
      <c r="X645" t="s">
        <v>99</v>
      </c>
      <c r="Y645" t="s">
        <v>99</v>
      </c>
      <c r="Z645" t="s">
        <v>99</v>
      </c>
    </row>
    <row r="646" spans="1:26">
      <c r="A646" t="s">
        <v>5852</v>
      </c>
      <c r="B646" t="s">
        <v>135</v>
      </c>
      <c r="C646">
        <v>2022</v>
      </c>
      <c r="D646" t="s">
        <v>3935</v>
      </c>
      <c r="E646" t="s">
        <v>3936</v>
      </c>
      <c r="F646" t="s">
        <v>3937</v>
      </c>
      <c r="G646" t="s">
        <v>99</v>
      </c>
      <c r="H646" t="s">
        <v>99</v>
      </c>
      <c r="I646" t="s">
        <v>3938</v>
      </c>
      <c r="J646" t="s">
        <v>3939</v>
      </c>
      <c r="K646" t="s">
        <v>123</v>
      </c>
      <c r="L646" s="13">
        <v>44887.363807870373</v>
      </c>
      <c r="M646" s="13">
        <v>44887.363807870373</v>
      </c>
      <c r="N646" s="13"/>
      <c r="O646" t="s">
        <v>3940</v>
      </c>
      <c r="P646" t="s">
        <v>288</v>
      </c>
      <c r="Q646" t="s">
        <v>4512</v>
      </c>
      <c r="R646" t="s">
        <v>99</v>
      </c>
      <c r="S646" t="s">
        <v>99</v>
      </c>
      <c r="T646" t="s">
        <v>99</v>
      </c>
      <c r="U646" t="s">
        <v>99</v>
      </c>
      <c r="V646" t="s">
        <v>99</v>
      </c>
      <c r="W646" t="s">
        <v>99</v>
      </c>
      <c r="X646" t="s">
        <v>99</v>
      </c>
      <c r="Y646" t="s">
        <v>99</v>
      </c>
      <c r="Z646" t="s">
        <v>99</v>
      </c>
    </row>
    <row r="647" spans="1:26">
      <c r="A647" t="s">
        <v>4460</v>
      </c>
      <c r="B647" t="s">
        <v>94</v>
      </c>
      <c r="C647">
        <v>2022</v>
      </c>
      <c r="D647" t="s">
        <v>3753</v>
      </c>
      <c r="E647" t="s">
        <v>3754</v>
      </c>
      <c r="F647" t="s">
        <v>2006</v>
      </c>
      <c r="G647" t="s">
        <v>2007</v>
      </c>
      <c r="H647" t="s">
        <v>99</v>
      </c>
      <c r="I647" t="s">
        <v>99</v>
      </c>
      <c r="J647" t="s">
        <v>3755</v>
      </c>
      <c r="K647" t="s">
        <v>123</v>
      </c>
      <c r="L647" s="13">
        <v>44887.363807870373</v>
      </c>
      <c r="M647" s="13">
        <v>44887.363807870373</v>
      </c>
      <c r="N647" s="13">
        <v>44886.598391203705</v>
      </c>
      <c r="O647" t="s">
        <v>3756</v>
      </c>
      <c r="P647" t="s">
        <v>99</v>
      </c>
      <c r="Q647" t="s">
        <v>5069</v>
      </c>
      <c r="R647" t="s">
        <v>99</v>
      </c>
      <c r="S647" t="s">
        <v>99</v>
      </c>
      <c r="T647" t="s">
        <v>1226</v>
      </c>
      <c r="U647" t="s">
        <v>1227</v>
      </c>
      <c r="V647" t="s">
        <v>4495</v>
      </c>
      <c r="W647" t="s">
        <v>4496</v>
      </c>
      <c r="X647" t="s">
        <v>3757</v>
      </c>
      <c r="Y647" t="s">
        <v>5071</v>
      </c>
      <c r="Z647" t="s">
        <v>99</v>
      </c>
    </row>
    <row r="648" spans="1:26">
      <c r="A648" t="s">
        <v>5853</v>
      </c>
      <c r="B648" t="s">
        <v>94</v>
      </c>
      <c r="C648">
        <v>2021</v>
      </c>
      <c r="D648" t="s">
        <v>1395</v>
      </c>
      <c r="E648" t="s">
        <v>1396</v>
      </c>
      <c r="F648" t="s">
        <v>1397</v>
      </c>
      <c r="G648" t="s">
        <v>1398</v>
      </c>
      <c r="H648" t="s">
        <v>99</v>
      </c>
      <c r="I648" t="s">
        <v>99</v>
      </c>
      <c r="J648" t="s">
        <v>1399</v>
      </c>
      <c r="K648" t="s">
        <v>113</v>
      </c>
      <c r="L648" s="13">
        <v>44887.363807870373</v>
      </c>
      <c r="M648" s="13">
        <v>44887.363807870373</v>
      </c>
      <c r="N648" s="13">
        <v>44886.598020833335</v>
      </c>
      <c r="O648" t="s">
        <v>1400</v>
      </c>
      <c r="P648" t="s">
        <v>99</v>
      </c>
      <c r="Q648" t="s">
        <v>5854</v>
      </c>
      <c r="R648" t="s">
        <v>99</v>
      </c>
      <c r="S648" t="s">
        <v>99</v>
      </c>
      <c r="T648" t="s">
        <v>1226</v>
      </c>
      <c r="U648" t="s">
        <v>1227</v>
      </c>
      <c r="V648" t="s">
        <v>4495</v>
      </c>
      <c r="W648" t="s">
        <v>4496</v>
      </c>
      <c r="X648" t="s">
        <v>1401</v>
      </c>
      <c r="Y648" t="s">
        <v>5855</v>
      </c>
      <c r="Z648" t="s">
        <v>99</v>
      </c>
    </row>
    <row r="649" spans="1:26">
      <c r="A649" t="s">
        <v>4461</v>
      </c>
      <c r="B649" t="s">
        <v>94</v>
      </c>
      <c r="C649">
        <v>2019</v>
      </c>
      <c r="D649" t="s">
        <v>4022</v>
      </c>
      <c r="E649" t="s">
        <v>4023</v>
      </c>
      <c r="F649" t="s">
        <v>4024</v>
      </c>
      <c r="G649" t="s">
        <v>99</v>
      </c>
      <c r="H649" t="s">
        <v>99</v>
      </c>
      <c r="I649" t="s">
        <v>4025</v>
      </c>
      <c r="J649" t="s">
        <v>4026</v>
      </c>
      <c r="K649" t="s">
        <v>271</v>
      </c>
      <c r="L649" s="13">
        <v>44887.363807870373</v>
      </c>
      <c r="M649" s="13">
        <v>44887.363807870373</v>
      </c>
      <c r="N649" s="13"/>
      <c r="O649" t="s">
        <v>4027</v>
      </c>
      <c r="P649" t="s">
        <v>99</v>
      </c>
      <c r="Q649" t="s">
        <v>99</v>
      </c>
      <c r="R649" t="s">
        <v>99</v>
      </c>
      <c r="S649" t="s">
        <v>99</v>
      </c>
      <c r="T649" t="s">
        <v>4028</v>
      </c>
      <c r="U649" t="s">
        <v>99</v>
      </c>
      <c r="V649" t="s">
        <v>99</v>
      </c>
      <c r="W649" t="s">
        <v>99</v>
      </c>
      <c r="X649" t="s">
        <v>99</v>
      </c>
      <c r="Y649" t="s">
        <v>5856</v>
      </c>
      <c r="Z649" t="s">
        <v>99</v>
      </c>
    </row>
    <row r="650" spans="1:26">
      <c r="A650" t="s">
        <v>4462</v>
      </c>
      <c r="B650" t="s">
        <v>135</v>
      </c>
      <c r="C650">
        <v>2022</v>
      </c>
      <c r="D650" t="s">
        <v>1229</v>
      </c>
      <c r="E650" t="s">
        <v>1230</v>
      </c>
      <c r="F650" t="s">
        <v>1231</v>
      </c>
      <c r="G650" t="s">
        <v>99</v>
      </c>
      <c r="H650" t="s">
        <v>99</v>
      </c>
      <c r="I650" t="s">
        <v>99</v>
      </c>
      <c r="J650" t="s">
        <v>1232</v>
      </c>
      <c r="K650" t="s">
        <v>123</v>
      </c>
      <c r="L650" s="13">
        <v>44887.363807870373</v>
      </c>
      <c r="M650" s="13">
        <v>44887.363807870373</v>
      </c>
      <c r="N650" s="13">
        <v>44886.597951388889</v>
      </c>
      <c r="O650" t="s">
        <v>1233</v>
      </c>
      <c r="P650" t="s">
        <v>99</v>
      </c>
      <c r="Q650" t="s">
        <v>5857</v>
      </c>
      <c r="R650" t="s">
        <v>99</v>
      </c>
      <c r="S650" t="s">
        <v>99</v>
      </c>
      <c r="T650" t="s">
        <v>99</v>
      </c>
      <c r="U650" t="s">
        <v>99</v>
      </c>
      <c r="V650" t="s">
        <v>4495</v>
      </c>
      <c r="W650" t="s">
        <v>4496</v>
      </c>
      <c r="X650" t="s">
        <v>1234</v>
      </c>
      <c r="Y650" t="s">
        <v>5858</v>
      </c>
      <c r="Z650" t="s">
        <v>99</v>
      </c>
    </row>
    <row r="651" spans="1:26">
      <c r="A651" t="s">
        <v>5859</v>
      </c>
      <c r="B651" t="s">
        <v>94</v>
      </c>
      <c r="C651">
        <v>2021</v>
      </c>
      <c r="D651" t="s">
        <v>775</v>
      </c>
      <c r="E651" t="s">
        <v>776</v>
      </c>
      <c r="F651" t="s">
        <v>659</v>
      </c>
      <c r="G651" t="s">
        <v>99</v>
      </c>
      <c r="H651" t="s">
        <v>99</v>
      </c>
      <c r="I651" t="s">
        <v>777</v>
      </c>
      <c r="J651" t="s">
        <v>99</v>
      </c>
      <c r="K651" t="s">
        <v>113</v>
      </c>
      <c r="L651" s="13">
        <v>44887.363807870373</v>
      </c>
      <c r="M651" s="13">
        <v>44887.363807870373</v>
      </c>
      <c r="N651" s="13"/>
      <c r="O651" t="s">
        <v>778</v>
      </c>
      <c r="P651" t="s">
        <v>99</v>
      </c>
      <c r="Q651" t="s">
        <v>99</v>
      </c>
      <c r="R651" t="s">
        <v>99</v>
      </c>
      <c r="S651" t="s">
        <v>99</v>
      </c>
      <c r="T651" t="s">
        <v>99</v>
      </c>
      <c r="U651" t="s">
        <v>99</v>
      </c>
      <c r="V651" t="s">
        <v>99</v>
      </c>
      <c r="W651" t="s">
        <v>99</v>
      </c>
      <c r="X651" t="s">
        <v>99</v>
      </c>
      <c r="Y651" t="s">
        <v>99</v>
      </c>
      <c r="Z651" t="s">
        <v>99</v>
      </c>
    </row>
    <row r="652" spans="1:26">
      <c r="A652" t="s">
        <v>4463</v>
      </c>
      <c r="B652" t="s">
        <v>135</v>
      </c>
      <c r="C652">
        <v>2021</v>
      </c>
      <c r="D652" t="s">
        <v>657</v>
      </c>
      <c r="E652" t="s">
        <v>658</v>
      </c>
      <c r="F652" t="s">
        <v>659</v>
      </c>
      <c r="G652" t="s">
        <v>99</v>
      </c>
      <c r="H652" t="s">
        <v>99</v>
      </c>
      <c r="I652" t="s">
        <v>660</v>
      </c>
      <c r="J652" t="s">
        <v>99</v>
      </c>
      <c r="K652" t="s">
        <v>113</v>
      </c>
      <c r="L652" s="13">
        <v>44887.363807870373</v>
      </c>
      <c r="M652" s="13">
        <v>44887.363807870373</v>
      </c>
      <c r="N652" s="13"/>
      <c r="O652" t="s">
        <v>661</v>
      </c>
      <c r="P652" t="s">
        <v>99</v>
      </c>
      <c r="Q652" t="s">
        <v>99</v>
      </c>
      <c r="R652" t="s">
        <v>99</v>
      </c>
      <c r="S652" t="s">
        <v>99</v>
      </c>
      <c r="T652" t="s">
        <v>99</v>
      </c>
      <c r="U652" t="s">
        <v>99</v>
      </c>
      <c r="V652" t="s">
        <v>99</v>
      </c>
      <c r="W652" t="s">
        <v>99</v>
      </c>
      <c r="X652" t="s">
        <v>99</v>
      </c>
      <c r="Y652" t="s">
        <v>99</v>
      </c>
      <c r="Z652" t="s">
        <v>99</v>
      </c>
    </row>
    <row r="653" spans="1:26">
      <c r="A653" t="s">
        <v>5860</v>
      </c>
      <c r="B653" t="s">
        <v>94</v>
      </c>
      <c r="C653">
        <v>2022</v>
      </c>
      <c r="D653" t="s">
        <v>185</v>
      </c>
      <c r="E653" t="s">
        <v>186</v>
      </c>
      <c r="F653" t="s">
        <v>119</v>
      </c>
      <c r="G653" t="s">
        <v>120</v>
      </c>
      <c r="H653" t="s">
        <v>99</v>
      </c>
      <c r="I653" t="s">
        <v>187</v>
      </c>
      <c r="J653" t="s">
        <v>188</v>
      </c>
      <c r="K653" t="s">
        <v>123</v>
      </c>
      <c r="L653" s="13">
        <v>44887.363807870373</v>
      </c>
      <c r="M653" s="13">
        <v>44887.363807870373</v>
      </c>
      <c r="N653" s="13"/>
      <c r="O653" t="s">
        <v>189</v>
      </c>
      <c r="P653" t="s">
        <v>99</v>
      </c>
      <c r="Q653" t="s">
        <v>99</v>
      </c>
      <c r="R653" t="s">
        <v>99</v>
      </c>
      <c r="S653" t="s">
        <v>99</v>
      </c>
      <c r="T653" t="s">
        <v>104</v>
      </c>
      <c r="U653" t="s">
        <v>105</v>
      </c>
      <c r="V653" t="s">
        <v>99</v>
      </c>
      <c r="W653" t="s">
        <v>99</v>
      </c>
      <c r="X653" t="s">
        <v>125</v>
      </c>
      <c r="Y653" t="s">
        <v>99</v>
      </c>
      <c r="Z653" t="s">
        <v>99</v>
      </c>
    </row>
    <row r="654" spans="1:26">
      <c r="A654" t="s">
        <v>5861</v>
      </c>
      <c r="B654" t="s">
        <v>94</v>
      </c>
      <c r="C654">
        <v>2009</v>
      </c>
      <c r="D654" t="s">
        <v>618</v>
      </c>
      <c r="E654" t="s">
        <v>619</v>
      </c>
      <c r="F654" t="s">
        <v>620</v>
      </c>
      <c r="G654" t="s">
        <v>621</v>
      </c>
      <c r="H654" t="s">
        <v>99</v>
      </c>
      <c r="I654" t="s">
        <v>622</v>
      </c>
      <c r="J654" t="s">
        <v>623</v>
      </c>
      <c r="K654" t="s">
        <v>615</v>
      </c>
      <c r="L654" s="13">
        <v>44887.363807870373</v>
      </c>
      <c r="M654" s="13">
        <v>44887.363807870373</v>
      </c>
      <c r="N654" s="13"/>
      <c r="O654" t="s">
        <v>624</v>
      </c>
      <c r="P654" t="s">
        <v>99</v>
      </c>
      <c r="Q654" t="s">
        <v>99</v>
      </c>
      <c r="R654" t="s">
        <v>99</v>
      </c>
      <c r="S654" t="s">
        <v>99</v>
      </c>
      <c r="T654" t="s">
        <v>104</v>
      </c>
      <c r="U654" t="s">
        <v>105</v>
      </c>
      <c r="V654" t="s">
        <v>99</v>
      </c>
      <c r="W654" t="s">
        <v>99</v>
      </c>
      <c r="X654" t="s">
        <v>625</v>
      </c>
      <c r="Y654" t="s">
        <v>99</v>
      </c>
      <c r="Z654" t="s">
        <v>99</v>
      </c>
    </row>
    <row r="655" spans="1:26">
      <c r="A655" t="s">
        <v>4464</v>
      </c>
      <c r="B655" t="s">
        <v>94</v>
      </c>
      <c r="C655">
        <v>2020</v>
      </c>
      <c r="D655" t="s">
        <v>353</v>
      </c>
      <c r="E655" t="s">
        <v>354</v>
      </c>
      <c r="F655" t="s">
        <v>172</v>
      </c>
      <c r="G655" t="s">
        <v>173</v>
      </c>
      <c r="H655" t="s">
        <v>99</v>
      </c>
      <c r="I655" t="s">
        <v>355</v>
      </c>
      <c r="J655" t="s">
        <v>356</v>
      </c>
      <c r="K655" t="s">
        <v>176</v>
      </c>
      <c r="L655" s="13">
        <v>44887.363807870373</v>
      </c>
      <c r="M655" s="13">
        <v>44887.363807870373</v>
      </c>
      <c r="N655" s="13"/>
      <c r="O655" t="s">
        <v>99</v>
      </c>
      <c r="P655" t="s">
        <v>99</v>
      </c>
      <c r="Q655" t="s">
        <v>99</v>
      </c>
      <c r="R655" t="s">
        <v>99</v>
      </c>
      <c r="S655" t="s">
        <v>99</v>
      </c>
      <c r="T655" t="s">
        <v>104</v>
      </c>
      <c r="U655" t="s">
        <v>105</v>
      </c>
      <c r="V655" t="s">
        <v>99</v>
      </c>
      <c r="W655" t="s">
        <v>99</v>
      </c>
      <c r="X655" t="s">
        <v>177</v>
      </c>
      <c r="Y655" t="s">
        <v>99</v>
      </c>
      <c r="Z655" t="s">
        <v>99</v>
      </c>
    </row>
    <row r="656" spans="1:26">
      <c r="A656" t="s">
        <v>4465</v>
      </c>
      <c r="B656" t="s">
        <v>94</v>
      </c>
      <c r="C656">
        <v>2017</v>
      </c>
      <c r="D656" t="s">
        <v>337</v>
      </c>
      <c r="E656" t="s">
        <v>338</v>
      </c>
      <c r="F656" t="s">
        <v>339</v>
      </c>
      <c r="G656" t="s">
        <v>340</v>
      </c>
      <c r="H656" t="s">
        <v>99</v>
      </c>
      <c r="I656" t="s">
        <v>341</v>
      </c>
      <c r="J656" t="s">
        <v>342</v>
      </c>
      <c r="K656" t="s">
        <v>156</v>
      </c>
      <c r="L656" s="13">
        <v>44887.363807870373</v>
      </c>
      <c r="M656" s="13">
        <v>44887.491666666669</v>
      </c>
      <c r="N656" s="13"/>
      <c r="O656" t="s">
        <v>343</v>
      </c>
      <c r="P656" t="s">
        <v>99</v>
      </c>
      <c r="Q656" t="s">
        <v>99</v>
      </c>
      <c r="R656" t="s">
        <v>99</v>
      </c>
      <c r="S656" t="s">
        <v>99</v>
      </c>
      <c r="T656" t="s">
        <v>115</v>
      </c>
      <c r="U656" t="s">
        <v>99</v>
      </c>
      <c r="V656" t="s">
        <v>99</v>
      </c>
      <c r="W656" t="s">
        <v>99</v>
      </c>
      <c r="X656" t="s">
        <v>344</v>
      </c>
      <c r="Y656" t="s">
        <v>99</v>
      </c>
      <c r="Z656" t="s">
        <v>99</v>
      </c>
    </row>
    <row r="657" spans="1:26">
      <c r="A657" t="s">
        <v>5862</v>
      </c>
      <c r="B657" t="s">
        <v>94</v>
      </c>
      <c r="C657">
        <v>2022</v>
      </c>
      <c r="D657" t="s">
        <v>252</v>
      </c>
      <c r="E657" t="s">
        <v>253</v>
      </c>
      <c r="F657" t="s">
        <v>254</v>
      </c>
      <c r="G657" t="s">
        <v>255</v>
      </c>
      <c r="H657" t="s">
        <v>99</v>
      </c>
      <c r="I657" t="s">
        <v>256</v>
      </c>
      <c r="J657" t="s">
        <v>257</v>
      </c>
      <c r="K657" t="s">
        <v>123</v>
      </c>
      <c r="L657" s="13">
        <v>44887.363807870373</v>
      </c>
      <c r="M657" s="13">
        <v>44887.363807870373</v>
      </c>
      <c r="N657" s="13"/>
      <c r="O657" t="s">
        <v>258</v>
      </c>
      <c r="P657" t="s">
        <v>99</v>
      </c>
      <c r="Q657" t="s">
        <v>99</v>
      </c>
      <c r="R657" t="s">
        <v>99</v>
      </c>
      <c r="S657" t="s">
        <v>99</v>
      </c>
      <c r="T657" t="s">
        <v>104</v>
      </c>
      <c r="U657" t="s">
        <v>105</v>
      </c>
      <c r="V657" t="s">
        <v>99</v>
      </c>
      <c r="W657" t="s">
        <v>99</v>
      </c>
      <c r="X657" t="s">
        <v>208</v>
      </c>
      <c r="Y657" t="s">
        <v>99</v>
      </c>
      <c r="Z657" t="s">
        <v>99</v>
      </c>
    </row>
    <row r="658" spans="1:26">
      <c r="A658" t="s">
        <v>5863</v>
      </c>
      <c r="B658" t="s">
        <v>135</v>
      </c>
      <c r="C658">
        <v>2016</v>
      </c>
      <c r="D658" t="s">
        <v>245</v>
      </c>
      <c r="E658" t="s">
        <v>246</v>
      </c>
      <c r="F658" t="s">
        <v>230</v>
      </c>
      <c r="G658" t="s">
        <v>99</v>
      </c>
      <c r="H658" t="s">
        <v>231</v>
      </c>
      <c r="I658" t="s">
        <v>247</v>
      </c>
      <c r="J658" t="s">
        <v>248</v>
      </c>
      <c r="K658" t="s">
        <v>249</v>
      </c>
      <c r="L658" s="13">
        <v>44887.363807870373</v>
      </c>
      <c r="M658" s="13">
        <v>44887.363807870373</v>
      </c>
      <c r="N658" s="13"/>
      <c r="O658" t="s">
        <v>250</v>
      </c>
      <c r="P658" t="s">
        <v>251</v>
      </c>
      <c r="Q658" t="s">
        <v>870</v>
      </c>
      <c r="R658" t="s">
        <v>99</v>
      </c>
      <c r="S658" t="s">
        <v>99</v>
      </c>
      <c r="T658" t="s">
        <v>99</v>
      </c>
      <c r="U658" t="s">
        <v>99</v>
      </c>
      <c r="V658" t="s">
        <v>99</v>
      </c>
      <c r="W658" t="s">
        <v>99</v>
      </c>
      <c r="X658" t="s">
        <v>237</v>
      </c>
      <c r="Y658" t="s">
        <v>99</v>
      </c>
      <c r="Z658" t="s">
        <v>99</v>
      </c>
    </row>
    <row r="659" spans="1:26">
      <c r="A659" t="s">
        <v>4466</v>
      </c>
      <c r="B659" t="s">
        <v>135</v>
      </c>
      <c r="C659">
        <v>2022</v>
      </c>
      <c r="D659" t="s">
        <v>190</v>
      </c>
      <c r="E659" t="s">
        <v>191</v>
      </c>
      <c r="F659" t="s">
        <v>119</v>
      </c>
      <c r="G659" t="s">
        <v>99</v>
      </c>
      <c r="H659" t="s">
        <v>99</v>
      </c>
      <c r="I659" t="s">
        <v>192</v>
      </c>
      <c r="J659" t="s">
        <v>193</v>
      </c>
      <c r="K659" t="s">
        <v>123</v>
      </c>
      <c r="L659" s="13">
        <v>44887.363807870373</v>
      </c>
      <c r="M659" s="13">
        <v>44887.363807870373</v>
      </c>
      <c r="N659" s="13"/>
      <c r="O659" t="s">
        <v>194</v>
      </c>
      <c r="P659" t="s">
        <v>99</v>
      </c>
      <c r="Q659" t="s">
        <v>99</v>
      </c>
      <c r="R659" t="s">
        <v>99</v>
      </c>
      <c r="S659" t="s">
        <v>99</v>
      </c>
      <c r="T659" t="s">
        <v>99</v>
      </c>
      <c r="U659" t="s">
        <v>99</v>
      </c>
      <c r="V659" t="s">
        <v>99</v>
      </c>
      <c r="W659" t="s">
        <v>99</v>
      </c>
      <c r="X659" t="s">
        <v>125</v>
      </c>
      <c r="Y659" t="s">
        <v>99</v>
      </c>
      <c r="Z659" t="s">
        <v>99</v>
      </c>
    </row>
    <row r="660" spans="1:26">
      <c r="A660" t="s">
        <v>5864</v>
      </c>
      <c r="B660" t="s">
        <v>94</v>
      </c>
      <c r="C660">
        <v>2022</v>
      </c>
      <c r="D660" t="s">
        <v>117</v>
      </c>
      <c r="E660" t="s">
        <v>118</v>
      </c>
      <c r="F660" t="s">
        <v>119</v>
      </c>
      <c r="G660" t="s">
        <v>120</v>
      </c>
      <c r="H660" t="s">
        <v>99</v>
      </c>
      <c r="I660" t="s">
        <v>121</v>
      </c>
      <c r="J660" t="s">
        <v>122</v>
      </c>
      <c r="K660" t="s">
        <v>123</v>
      </c>
      <c r="L660" s="13">
        <v>44887.363807870373</v>
      </c>
      <c r="M660" s="13">
        <v>44887.363807870373</v>
      </c>
      <c r="N660" s="13"/>
      <c r="O660" t="s">
        <v>124</v>
      </c>
      <c r="P660" t="s">
        <v>99</v>
      </c>
      <c r="Q660" t="s">
        <v>99</v>
      </c>
      <c r="R660" t="s">
        <v>99</v>
      </c>
      <c r="S660" t="s">
        <v>99</v>
      </c>
      <c r="T660" t="s">
        <v>104</v>
      </c>
      <c r="U660" t="s">
        <v>105</v>
      </c>
      <c r="V660" t="s">
        <v>99</v>
      </c>
      <c r="W660" t="s">
        <v>99</v>
      </c>
      <c r="X660" t="s">
        <v>125</v>
      </c>
      <c r="Y660" t="s">
        <v>99</v>
      </c>
      <c r="Z660" t="s">
        <v>99</v>
      </c>
    </row>
    <row r="661" spans="1:26">
      <c r="A661" t="s">
        <v>4467</v>
      </c>
      <c r="B661" t="s">
        <v>94</v>
      </c>
      <c r="C661">
        <v>2021</v>
      </c>
      <c r="D661" t="s">
        <v>107</v>
      </c>
      <c r="E661" t="s">
        <v>108</v>
      </c>
      <c r="F661" t="s">
        <v>109</v>
      </c>
      <c r="G661" t="s">
        <v>110</v>
      </c>
      <c r="H661" t="s">
        <v>99</v>
      </c>
      <c r="I661" t="s">
        <v>111</v>
      </c>
      <c r="J661" t="s">
        <v>112</v>
      </c>
      <c r="K661" t="s">
        <v>113</v>
      </c>
      <c r="L661" s="13">
        <v>44887.363807870373</v>
      </c>
      <c r="M661" s="13">
        <v>44887.363807870373</v>
      </c>
      <c r="N661" s="13"/>
      <c r="O661" t="s">
        <v>114</v>
      </c>
      <c r="P661" t="s">
        <v>99</v>
      </c>
      <c r="Q661" t="s">
        <v>99</v>
      </c>
      <c r="R661" t="s">
        <v>99</v>
      </c>
      <c r="S661" t="s">
        <v>99</v>
      </c>
      <c r="T661" t="s">
        <v>115</v>
      </c>
      <c r="U661" t="s">
        <v>99</v>
      </c>
      <c r="V661" t="s">
        <v>99</v>
      </c>
      <c r="W661" t="s">
        <v>99</v>
      </c>
      <c r="X661" t="s">
        <v>116</v>
      </c>
      <c r="Y661" t="s">
        <v>99</v>
      </c>
      <c r="Z661" t="s">
        <v>99</v>
      </c>
    </row>
    <row r="662" spans="1:26">
      <c r="A662" t="s">
        <v>5865</v>
      </c>
      <c r="B662" t="s">
        <v>94</v>
      </c>
      <c r="C662">
        <v>2011</v>
      </c>
      <c r="D662" t="s">
        <v>95</v>
      </c>
      <c r="E662" t="s">
        <v>96</v>
      </c>
      <c r="F662" t="s">
        <v>97</v>
      </c>
      <c r="G662" t="s">
        <v>98</v>
      </c>
      <c r="H662" t="s">
        <v>99</v>
      </c>
      <c r="I662" t="s">
        <v>100</v>
      </c>
      <c r="J662" t="s">
        <v>101</v>
      </c>
      <c r="K662" t="s">
        <v>102</v>
      </c>
      <c r="L662" s="13">
        <v>44887.363807870373</v>
      </c>
      <c r="M662" s="13">
        <v>44887.363807870373</v>
      </c>
      <c r="N662" s="13"/>
      <c r="O662" t="s">
        <v>103</v>
      </c>
      <c r="P662" t="s">
        <v>99</v>
      </c>
      <c r="Q662" t="s">
        <v>99</v>
      </c>
      <c r="R662" t="s">
        <v>99</v>
      </c>
      <c r="S662" t="s">
        <v>99</v>
      </c>
      <c r="T662" t="s">
        <v>104</v>
      </c>
      <c r="U662" t="s">
        <v>105</v>
      </c>
      <c r="V662" t="s">
        <v>99</v>
      </c>
      <c r="W662" t="s">
        <v>99</v>
      </c>
      <c r="X662" t="s">
        <v>106</v>
      </c>
      <c r="Y662" t="s">
        <v>99</v>
      </c>
      <c r="Z662" t="s">
        <v>99</v>
      </c>
    </row>
    <row r="663" spans="1:26">
      <c r="A663" t="s">
        <v>4468</v>
      </c>
      <c r="B663" t="s">
        <v>94</v>
      </c>
      <c r="C663">
        <v>2020</v>
      </c>
      <c r="D663" t="s">
        <v>319</v>
      </c>
      <c r="E663" t="s">
        <v>320</v>
      </c>
      <c r="F663" t="s">
        <v>321</v>
      </c>
      <c r="G663" t="s">
        <v>322</v>
      </c>
      <c r="H663" t="s">
        <v>99</v>
      </c>
      <c r="I663" t="s">
        <v>99</v>
      </c>
      <c r="J663" t="s">
        <v>99</v>
      </c>
      <c r="K663" t="s">
        <v>176</v>
      </c>
      <c r="L663" s="13">
        <v>44887.363807870373</v>
      </c>
      <c r="M663" s="13">
        <v>44887.492071759261</v>
      </c>
      <c r="N663" s="13"/>
      <c r="O663" t="s">
        <v>323</v>
      </c>
      <c r="P663" t="s">
        <v>99</v>
      </c>
      <c r="Q663" t="s">
        <v>99</v>
      </c>
      <c r="R663" t="s">
        <v>99</v>
      </c>
      <c r="S663" t="s">
        <v>99</v>
      </c>
      <c r="T663" t="s">
        <v>115</v>
      </c>
      <c r="U663" t="s">
        <v>99</v>
      </c>
      <c r="V663" t="s">
        <v>99</v>
      </c>
      <c r="W663" t="s">
        <v>99</v>
      </c>
      <c r="X663" t="s">
        <v>324</v>
      </c>
      <c r="Y663" t="s">
        <v>99</v>
      </c>
      <c r="Z663" t="s">
        <v>99</v>
      </c>
    </row>
    <row r="664" spans="1:26">
      <c r="A664" t="s">
        <v>5866</v>
      </c>
      <c r="B664" t="s">
        <v>135</v>
      </c>
      <c r="C664">
        <v>2008</v>
      </c>
      <c r="D664" t="s">
        <v>281</v>
      </c>
      <c r="E664" t="s">
        <v>282</v>
      </c>
      <c r="F664" t="s">
        <v>283</v>
      </c>
      <c r="G664" t="s">
        <v>99</v>
      </c>
      <c r="H664" t="s">
        <v>284</v>
      </c>
      <c r="I664" t="s">
        <v>285</v>
      </c>
      <c r="J664" t="s">
        <v>286</v>
      </c>
      <c r="K664" t="s">
        <v>287</v>
      </c>
      <c r="L664" s="13">
        <v>44887.363807870373</v>
      </c>
      <c r="M664" s="13">
        <v>44887.363807870373</v>
      </c>
      <c r="N664" s="13"/>
      <c r="O664" t="s">
        <v>99</v>
      </c>
      <c r="P664" t="s">
        <v>288</v>
      </c>
      <c r="Q664" t="s">
        <v>543</v>
      </c>
      <c r="R664" t="s">
        <v>99</v>
      </c>
      <c r="S664" t="s">
        <v>99</v>
      </c>
      <c r="T664" t="s">
        <v>99</v>
      </c>
      <c r="U664" t="s">
        <v>99</v>
      </c>
      <c r="V664" t="s">
        <v>99</v>
      </c>
      <c r="W664" t="s">
        <v>99</v>
      </c>
      <c r="X664" t="s">
        <v>289</v>
      </c>
      <c r="Y664" t="s">
        <v>99</v>
      </c>
      <c r="Z664" t="s">
        <v>99</v>
      </c>
    </row>
    <row r="665" spans="1:26">
      <c r="A665" t="s">
        <v>4469</v>
      </c>
      <c r="B665" t="s">
        <v>135</v>
      </c>
      <c r="C665">
        <v>2019</v>
      </c>
      <c r="D665" t="s">
        <v>259</v>
      </c>
      <c r="E665" t="s">
        <v>260</v>
      </c>
      <c r="F665" t="s">
        <v>230</v>
      </c>
      <c r="G665" t="s">
        <v>99</v>
      </c>
      <c r="H665" t="s">
        <v>231</v>
      </c>
      <c r="I665" t="s">
        <v>261</v>
      </c>
      <c r="J665" t="s">
        <v>262</v>
      </c>
      <c r="K665" t="s">
        <v>263</v>
      </c>
      <c r="L665" s="13">
        <v>44887.363807870373</v>
      </c>
      <c r="M665" s="13">
        <v>44887.363807870373</v>
      </c>
      <c r="N665" s="13"/>
      <c r="O665" t="s">
        <v>264</v>
      </c>
      <c r="P665" t="s">
        <v>236</v>
      </c>
      <c r="Q665" t="s">
        <v>543</v>
      </c>
      <c r="R665" t="s">
        <v>99</v>
      </c>
      <c r="S665" t="s">
        <v>99</v>
      </c>
      <c r="T665" t="s">
        <v>99</v>
      </c>
      <c r="U665" t="s">
        <v>99</v>
      </c>
      <c r="V665" t="s">
        <v>99</v>
      </c>
      <c r="W665" t="s">
        <v>99</v>
      </c>
      <c r="X665" t="s">
        <v>237</v>
      </c>
      <c r="Y665" t="s">
        <v>99</v>
      </c>
      <c r="Z665" t="s">
        <v>99</v>
      </c>
    </row>
    <row r="666" spans="1:26">
      <c r="A666" t="s">
        <v>5867</v>
      </c>
      <c r="B666" t="s">
        <v>135</v>
      </c>
      <c r="C666">
        <v>2013</v>
      </c>
      <c r="D666" t="s">
        <v>136</v>
      </c>
      <c r="E666" t="s">
        <v>137</v>
      </c>
      <c r="F666" t="s">
        <v>138</v>
      </c>
      <c r="G666" t="s">
        <v>99</v>
      </c>
      <c r="H666" t="s">
        <v>99</v>
      </c>
      <c r="I666" t="s">
        <v>99</v>
      </c>
      <c r="J666" t="s">
        <v>99</v>
      </c>
      <c r="K666" t="s">
        <v>139</v>
      </c>
      <c r="L666" s="13">
        <v>44887.363807870373</v>
      </c>
      <c r="M666" s="13">
        <v>44887.363807870373</v>
      </c>
      <c r="N666" s="13"/>
      <c r="O666" t="s">
        <v>140</v>
      </c>
      <c r="P666" t="s">
        <v>99</v>
      </c>
      <c r="Q666" t="s">
        <v>99</v>
      </c>
      <c r="R666" t="s">
        <v>99</v>
      </c>
      <c r="S666" t="s">
        <v>99</v>
      </c>
      <c r="T666" t="s">
        <v>99</v>
      </c>
      <c r="U666" t="s">
        <v>99</v>
      </c>
      <c r="V666" t="s">
        <v>99</v>
      </c>
      <c r="W666" t="s">
        <v>99</v>
      </c>
      <c r="X666" t="s">
        <v>141</v>
      </c>
      <c r="Y666" t="s">
        <v>99</v>
      </c>
      <c r="Z666" t="s">
        <v>99</v>
      </c>
    </row>
    <row r="667" spans="1:26">
      <c r="A667" t="s">
        <v>5868</v>
      </c>
      <c r="B667" t="s">
        <v>222</v>
      </c>
      <c r="C667">
        <v>2022</v>
      </c>
      <c r="D667" t="s">
        <v>3928</v>
      </c>
      <c r="E667" t="s">
        <v>3929</v>
      </c>
      <c r="F667" t="s">
        <v>3930</v>
      </c>
      <c r="G667" t="s">
        <v>3931</v>
      </c>
      <c r="H667" t="s">
        <v>99</v>
      </c>
      <c r="I667" t="s">
        <v>99</v>
      </c>
      <c r="J667" t="s">
        <v>3932</v>
      </c>
      <c r="K667" t="s">
        <v>123</v>
      </c>
      <c r="L667" s="13">
        <v>44887.363807870373</v>
      </c>
      <c r="M667" s="13">
        <v>44887.363807870373</v>
      </c>
      <c r="N667" s="13">
        <v>44886.598460648151</v>
      </c>
      <c r="O667" t="s">
        <v>3933</v>
      </c>
      <c r="P667" t="s">
        <v>99</v>
      </c>
      <c r="Q667" t="s">
        <v>5869</v>
      </c>
      <c r="R667" t="s">
        <v>99</v>
      </c>
      <c r="S667" t="s">
        <v>99</v>
      </c>
      <c r="T667" t="s">
        <v>2035</v>
      </c>
      <c r="U667" t="s">
        <v>1363</v>
      </c>
      <c r="V667" t="s">
        <v>4495</v>
      </c>
      <c r="W667" t="s">
        <v>4496</v>
      </c>
      <c r="X667" t="s">
        <v>3934</v>
      </c>
      <c r="Y667" t="s">
        <v>5870</v>
      </c>
      <c r="Z667" t="s">
        <v>99</v>
      </c>
    </row>
    <row r="668" spans="1:26">
      <c r="A668" t="s">
        <v>5871</v>
      </c>
      <c r="B668" t="s">
        <v>222</v>
      </c>
      <c r="C668">
        <v>2002</v>
      </c>
      <c r="D668" t="s">
        <v>3921</v>
      </c>
      <c r="E668" t="s">
        <v>3922</v>
      </c>
      <c r="F668" t="s">
        <v>3923</v>
      </c>
      <c r="G668" t="s">
        <v>3924</v>
      </c>
      <c r="H668" t="s">
        <v>99</v>
      </c>
      <c r="I668" t="s">
        <v>99</v>
      </c>
      <c r="J668" t="s">
        <v>3925</v>
      </c>
      <c r="K668" t="s">
        <v>1668</v>
      </c>
      <c r="L668" s="13">
        <v>44887.363807870373</v>
      </c>
      <c r="M668" s="13">
        <v>44887.363807870373</v>
      </c>
      <c r="N668" s="13">
        <v>44886.598460648151</v>
      </c>
      <c r="O668" t="s">
        <v>3926</v>
      </c>
      <c r="P668" t="s">
        <v>99</v>
      </c>
      <c r="Q668" t="s">
        <v>5872</v>
      </c>
      <c r="R668" t="s">
        <v>99</v>
      </c>
      <c r="S668" t="s">
        <v>99</v>
      </c>
      <c r="T668" t="s">
        <v>1218</v>
      </c>
      <c r="U668" t="s">
        <v>133</v>
      </c>
      <c r="V668" t="s">
        <v>99</v>
      </c>
      <c r="W668" t="s">
        <v>4496</v>
      </c>
      <c r="X668" t="s">
        <v>3927</v>
      </c>
      <c r="Y668" t="s">
        <v>5873</v>
      </c>
      <c r="Z668" t="s">
        <v>4526</v>
      </c>
    </row>
    <row r="669" spans="1:26">
      <c r="A669" t="s">
        <v>5874</v>
      </c>
      <c r="B669" t="s">
        <v>222</v>
      </c>
      <c r="C669">
        <v>2019</v>
      </c>
      <c r="D669" t="s">
        <v>3914</v>
      </c>
      <c r="E669" t="s">
        <v>3915</v>
      </c>
      <c r="F669" t="s">
        <v>3916</v>
      </c>
      <c r="G669" t="s">
        <v>3917</v>
      </c>
      <c r="H669" t="s">
        <v>99</v>
      </c>
      <c r="I669" t="s">
        <v>99</v>
      </c>
      <c r="J669" t="s">
        <v>3918</v>
      </c>
      <c r="K669" t="s">
        <v>271</v>
      </c>
      <c r="L669" s="13">
        <v>44887.363807870373</v>
      </c>
      <c r="M669" s="13">
        <v>44887.363807870373</v>
      </c>
      <c r="N669" s="13">
        <v>44886.598460648151</v>
      </c>
      <c r="O669" t="s">
        <v>3919</v>
      </c>
      <c r="P669" t="s">
        <v>99</v>
      </c>
      <c r="Q669" t="s">
        <v>5875</v>
      </c>
      <c r="R669" t="s">
        <v>99</v>
      </c>
      <c r="S669" t="s">
        <v>99</v>
      </c>
      <c r="T669" t="s">
        <v>1362</v>
      </c>
      <c r="U669" t="s">
        <v>1363</v>
      </c>
      <c r="V669" t="s">
        <v>4495</v>
      </c>
      <c r="W669" t="s">
        <v>4496</v>
      </c>
      <c r="X669" t="s">
        <v>3920</v>
      </c>
      <c r="Y669" t="s">
        <v>5876</v>
      </c>
      <c r="Z669" t="s">
        <v>99</v>
      </c>
    </row>
    <row r="670" spans="1:26">
      <c r="A670" t="s">
        <v>5877</v>
      </c>
      <c r="B670" t="s">
        <v>135</v>
      </c>
      <c r="C670">
        <v>2020</v>
      </c>
      <c r="D670" t="s">
        <v>3907</v>
      </c>
      <c r="E670" t="s">
        <v>3908</v>
      </c>
      <c r="F670" t="s">
        <v>3909</v>
      </c>
      <c r="G670" t="s">
        <v>99</v>
      </c>
      <c r="H670" t="s">
        <v>3910</v>
      </c>
      <c r="I670" t="s">
        <v>3911</v>
      </c>
      <c r="J670" t="s">
        <v>3912</v>
      </c>
      <c r="K670" t="s">
        <v>2774</v>
      </c>
      <c r="L670" s="13">
        <v>44887.363807870373</v>
      </c>
      <c r="M670" s="13">
        <v>44887.363807870373</v>
      </c>
      <c r="N670" s="13">
        <v>44886.598460648151</v>
      </c>
      <c r="O670" t="s">
        <v>3913</v>
      </c>
      <c r="P670" t="s">
        <v>500</v>
      </c>
      <c r="Q670" t="s">
        <v>5878</v>
      </c>
      <c r="R670" t="s">
        <v>5879</v>
      </c>
      <c r="S670" t="s">
        <v>99</v>
      </c>
      <c r="T670" t="s">
        <v>99</v>
      </c>
      <c r="U670" t="s">
        <v>99</v>
      </c>
      <c r="V670" t="s">
        <v>4495</v>
      </c>
      <c r="W670" t="s">
        <v>4496</v>
      </c>
      <c r="X670" t="s">
        <v>99</v>
      </c>
      <c r="Y670" t="s">
        <v>99</v>
      </c>
      <c r="Z670" t="s">
        <v>99</v>
      </c>
    </row>
    <row r="671" spans="1:26">
      <c r="A671" t="s">
        <v>5880</v>
      </c>
      <c r="B671" t="s">
        <v>222</v>
      </c>
      <c r="C671">
        <v>2009</v>
      </c>
      <c r="D671" t="s">
        <v>3900</v>
      </c>
      <c r="E671" t="s">
        <v>3901</v>
      </c>
      <c r="F671" t="s">
        <v>3902</v>
      </c>
      <c r="G671" t="s">
        <v>3903</v>
      </c>
      <c r="H671" t="s">
        <v>99</v>
      </c>
      <c r="I671" t="s">
        <v>99</v>
      </c>
      <c r="J671" t="s">
        <v>3904</v>
      </c>
      <c r="K671" t="s">
        <v>615</v>
      </c>
      <c r="L671" s="13">
        <v>44887.363807870373</v>
      </c>
      <c r="M671" s="13">
        <v>44887.363807870373</v>
      </c>
      <c r="N671" s="13">
        <v>44886.598449074074</v>
      </c>
      <c r="O671" t="s">
        <v>3905</v>
      </c>
      <c r="P671" t="s">
        <v>99</v>
      </c>
      <c r="Q671" t="s">
        <v>4512</v>
      </c>
      <c r="R671" t="s">
        <v>99</v>
      </c>
      <c r="S671" t="s">
        <v>5881</v>
      </c>
      <c r="T671" t="s">
        <v>1218</v>
      </c>
      <c r="U671" t="s">
        <v>133</v>
      </c>
      <c r="V671" t="s">
        <v>99</v>
      </c>
      <c r="W671" t="s">
        <v>4496</v>
      </c>
      <c r="X671" t="s">
        <v>3906</v>
      </c>
      <c r="Y671" t="s">
        <v>5882</v>
      </c>
      <c r="Z671" t="s">
        <v>99</v>
      </c>
    </row>
    <row r="672" spans="1:26">
      <c r="A672" t="s">
        <v>5883</v>
      </c>
      <c r="B672" t="s">
        <v>135</v>
      </c>
      <c r="C672">
        <v>2020</v>
      </c>
      <c r="D672" t="s">
        <v>3895</v>
      </c>
      <c r="E672" t="s">
        <v>3896</v>
      </c>
      <c r="F672" t="s">
        <v>1486</v>
      </c>
      <c r="G672" t="s">
        <v>99</v>
      </c>
      <c r="H672" t="s">
        <v>1487</v>
      </c>
      <c r="I672" t="s">
        <v>3897</v>
      </c>
      <c r="J672" t="s">
        <v>3898</v>
      </c>
      <c r="K672" t="s">
        <v>2774</v>
      </c>
      <c r="L672" s="13">
        <v>44887.363807870373</v>
      </c>
      <c r="M672" s="13">
        <v>44887.363807870373</v>
      </c>
      <c r="N672" s="13">
        <v>44886.598449074074</v>
      </c>
      <c r="O672" t="s">
        <v>3899</v>
      </c>
      <c r="P672" t="s">
        <v>500</v>
      </c>
      <c r="Q672" t="s">
        <v>251</v>
      </c>
      <c r="R672" t="s">
        <v>4853</v>
      </c>
      <c r="S672" t="s">
        <v>99</v>
      </c>
      <c r="T672" t="s">
        <v>99</v>
      </c>
      <c r="U672" t="s">
        <v>99</v>
      </c>
      <c r="V672" t="s">
        <v>4495</v>
      </c>
      <c r="W672" t="s">
        <v>4496</v>
      </c>
      <c r="X672" t="s">
        <v>99</v>
      </c>
      <c r="Y672" t="s">
        <v>99</v>
      </c>
      <c r="Z672" t="s">
        <v>99</v>
      </c>
    </row>
    <row r="673" spans="1:26">
      <c r="A673" t="s">
        <v>5884</v>
      </c>
      <c r="B673" t="s">
        <v>222</v>
      </c>
      <c r="C673">
        <v>2014</v>
      </c>
      <c r="D673" t="s">
        <v>3888</v>
      </c>
      <c r="E673" t="s">
        <v>3889</v>
      </c>
      <c r="F673" t="s">
        <v>3890</v>
      </c>
      <c r="G673" t="s">
        <v>3891</v>
      </c>
      <c r="H673" t="s">
        <v>99</v>
      </c>
      <c r="I673" t="s">
        <v>99</v>
      </c>
      <c r="J673" t="s">
        <v>3892</v>
      </c>
      <c r="K673" t="s">
        <v>400</v>
      </c>
      <c r="L673" s="13">
        <v>44887.363807870373</v>
      </c>
      <c r="M673" s="13">
        <v>44887.363807870373</v>
      </c>
      <c r="N673" s="13">
        <v>44886.598449074074</v>
      </c>
      <c r="O673" t="s">
        <v>3893</v>
      </c>
      <c r="P673" t="s">
        <v>99</v>
      </c>
      <c r="Q673" t="s">
        <v>5885</v>
      </c>
      <c r="R673" t="s">
        <v>99</v>
      </c>
      <c r="S673" t="s">
        <v>99</v>
      </c>
      <c r="T673" t="s">
        <v>1226</v>
      </c>
      <c r="U673" t="s">
        <v>1227</v>
      </c>
      <c r="V673" t="s">
        <v>99</v>
      </c>
      <c r="W673" t="s">
        <v>4496</v>
      </c>
      <c r="X673" t="s">
        <v>3894</v>
      </c>
      <c r="Y673" t="s">
        <v>5886</v>
      </c>
      <c r="Z673" t="s">
        <v>99</v>
      </c>
    </row>
    <row r="674" spans="1:26">
      <c r="A674" t="s">
        <v>5887</v>
      </c>
      <c r="B674" t="s">
        <v>222</v>
      </c>
      <c r="C674">
        <v>2012</v>
      </c>
      <c r="D674" t="s">
        <v>3881</v>
      </c>
      <c r="E674" t="s">
        <v>3882</v>
      </c>
      <c r="F674" t="s">
        <v>3883</v>
      </c>
      <c r="G674" t="s">
        <v>3884</v>
      </c>
      <c r="H674" t="s">
        <v>99</v>
      </c>
      <c r="I674" t="s">
        <v>99</v>
      </c>
      <c r="J674" t="s">
        <v>3885</v>
      </c>
      <c r="K674" t="s">
        <v>351</v>
      </c>
      <c r="L674" s="13">
        <v>44887.363807870373</v>
      </c>
      <c r="M674" s="13">
        <v>44887.363807870373</v>
      </c>
      <c r="N674" s="13">
        <v>44886.598449074074</v>
      </c>
      <c r="O674" t="s">
        <v>3886</v>
      </c>
      <c r="P674" t="s">
        <v>99</v>
      </c>
      <c r="Q674" t="s">
        <v>5888</v>
      </c>
      <c r="R674" t="s">
        <v>99</v>
      </c>
      <c r="S674" t="s">
        <v>99</v>
      </c>
      <c r="T674" t="s">
        <v>1218</v>
      </c>
      <c r="U674" t="s">
        <v>133</v>
      </c>
      <c r="V674" t="s">
        <v>99</v>
      </c>
      <c r="W674" t="s">
        <v>4496</v>
      </c>
      <c r="X674" t="s">
        <v>3887</v>
      </c>
      <c r="Y674" t="s">
        <v>5889</v>
      </c>
      <c r="Z674" t="s">
        <v>99</v>
      </c>
    </row>
    <row r="675" spans="1:26">
      <c r="A675" t="s">
        <v>5890</v>
      </c>
      <c r="B675" t="s">
        <v>222</v>
      </c>
      <c r="C675">
        <v>2021</v>
      </c>
      <c r="D675" t="s">
        <v>3875</v>
      </c>
      <c r="E675" t="s">
        <v>3876</v>
      </c>
      <c r="F675" t="s">
        <v>2006</v>
      </c>
      <c r="G675" t="s">
        <v>3877</v>
      </c>
      <c r="H675" t="s">
        <v>99</v>
      </c>
      <c r="I675" t="s">
        <v>99</v>
      </c>
      <c r="J675" t="s">
        <v>3878</v>
      </c>
      <c r="K675" t="s">
        <v>113</v>
      </c>
      <c r="L675" s="13">
        <v>44887.363807870373</v>
      </c>
      <c r="M675" s="13">
        <v>44887.363807870373</v>
      </c>
      <c r="N675" s="13">
        <v>44886.598449074074</v>
      </c>
      <c r="O675" t="s">
        <v>3879</v>
      </c>
      <c r="P675" t="s">
        <v>99</v>
      </c>
      <c r="Q675" t="s">
        <v>5891</v>
      </c>
      <c r="R675" t="s">
        <v>99</v>
      </c>
      <c r="S675" t="s">
        <v>5892</v>
      </c>
      <c r="T675" t="s">
        <v>1226</v>
      </c>
      <c r="U675" t="s">
        <v>1227</v>
      </c>
      <c r="V675" t="s">
        <v>4495</v>
      </c>
      <c r="W675" t="s">
        <v>4496</v>
      </c>
      <c r="X675" t="s">
        <v>3880</v>
      </c>
      <c r="Y675" t="s">
        <v>5893</v>
      </c>
      <c r="Z675" t="s">
        <v>99</v>
      </c>
    </row>
    <row r="676" spans="1:26">
      <c r="A676" t="s">
        <v>5894</v>
      </c>
      <c r="B676" t="s">
        <v>222</v>
      </c>
      <c r="C676">
        <v>1991</v>
      </c>
      <c r="D676" t="s">
        <v>2860</v>
      </c>
      <c r="E676" t="s">
        <v>37</v>
      </c>
      <c r="F676" t="s">
        <v>2862</v>
      </c>
      <c r="G676" t="s">
        <v>2863</v>
      </c>
      <c r="H676" t="s">
        <v>99</v>
      </c>
      <c r="I676" t="s">
        <v>99</v>
      </c>
      <c r="J676" t="s">
        <v>3864</v>
      </c>
      <c r="K676" t="s">
        <v>2050</v>
      </c>
      <c r="L676" s="13">
        <v>44887.363807870373</v>
      </c>
      <c r="M676" s="13">
        <v>44887.363807870373</v>
      </c>
      <c r="N676" s="13">
        <v>44886.598449074074</v>
      </c>
      <c r="O676" t="s">
        <v>3865</v>
      </c>
      <c r="P676" t="s">
        <v>99</v>
      </c>
      <c r="Q676" t="s">
        <v>99</v>
      </c>
      <c r="R676" t="s">
        <v>99</v>
      </c>
      <c r="S676" t="s">
        <v>99</v>
      </c>
      <c r="T676" t="s">
        <v>1331</v>
      </c>
      <c r="U676" t="s">
        <v>1332</v>
      </c>
      <c r="V676" t="s">
        <v>4495</v>
      </c>
      <c r="W676" t="s">
        <v>4496</v>
      </c>
      <c r="X676" t="s">
        <v>3866</v>
      </c>
      <c r="Y676" t="s">
        <v>99</v>
      </c>
      <c r="Z676" t="s">
        <v>99</v>
      </c>
    </row>
    <row r="677" spans="1:26">
      <c r="A677" t="s">
        <v>5895</v>
      </c>
      <c r="B677" t="s">
        <v>222</v>
      </c>
      <c r="C677">
        <v>2022</v>
      </c>
      <c r="D677" t="s">
        <v>3858</v>
      </c>
      <c r="E677" t="s">
        <v>3859</v>
      </c>
      <c r="F677" t="s">
        <v>1848</v>
      </c>
      <c r="G677" t="s">
        <v>3860</v>
      </c>
      <c r="H677" t="s">
        <v>99</v>
      </c>
      <c r="I677" t="s">
        <v>99</v>
      </c>
      <c r="J677" t="s">
        <v>3861</v>
      </c>
      <c r="K677" t="s">
        <v>123</v>
      </c>
      <c r="L677" s="13">
        <v>44887.363807870373</v>
      </c>
      <c r="M677" s="13">
        <v>44887.363807870373</v>
      </c>
      <c r="N677" s="13">
        <v>44886.598437499997</v>
      </c>
      <c r="O677" t="s">
        <v>3862</v>
      </c>
      <c r="P677" t="s">
        <v>99</v>
      </c>
      <c r="Q677" t="s">
        <v>5896</v>
      </c>
      <c r="R677" t="s">
        <v>99</v>
      </c>
      <c r="S677" t="s">
        <v>5897</v>
      </c>
      <c r="T677" t="s">
        <v>1226</v>
      </c>
      <c r="U677" t="s">
        <v>1227</v>
      </c>
      <c r="V677" t="s">
        <v>4495</v>
      </c>
      <c r="W677" t="s">
        <v>4496</v>
      </c>
      <c r="X677" t="s">
        <v>3863</v>
      </c>
      <c r="Y677" t="s">
        <v>5898</v>
      </c>
      <c r="Z677" t="s">
        <v>99</v>
      </c>
    </row>
    <row r="678" spans="1:26">
      <c r="A678" t="s">
        <v>5899</v>
      </c>
      <c r="B678" t="s">
        <v>222</v>
      </c>
      <c r="C678">
        <v>2022</v>
      </c>
      <c r="D678" t="s">
        <v>3851</v>
      </c>
      <c r="E678" t="s">
        <v>3852</v>
      </c>
      <c r="F678" t="s">
        <v>3853</v>
      </c>
      <c r="G678" t="s">
        <v>3854</v>
      </c>
      <c r="H678" t="s">
        <v>99</v>
      </c>
      <c r="I678" t="s">
        <v>99</v>
      </c>
      <c r="J678" t="s">
        <v>3855</v>
      </c>
      <c r="K678" t="s">
        <v>123</v>
      </c>
      <c r="L678" s="13">
        <v>44887.363807870373</v>
      </c>
      <c r="M678" s="13">
        <v>44887.363807870373</v>
      </c>
      <c r="N678" s="13">
        <v>44886.598437499997</v>
      </c>
      <c r="O678" t="s">
        <v>3856</v>
      </c>
      <c r="P678" t="s">
        <v>99</v>
      </c>
      <c r="Q678" t="s">
        <v>5900</v>
      </c>
      <c r="R678" t="s">
        <v>99</v>
      </c>
      <c r="S678" t="s">
        <v>5901</v>
      </c>
      <c r="T678" t="s">
        <v>3025</v>
      </c>
      <c r="U678" t="s">
        <v>1227</v>
      </c>
      <c r="V678" t="s">
        <v>4495</v>
      </c>
      <c r="W678" t="s">
        <v>4496</v>
      </c>
      <c r="X678" t="s">
        <v>3857</v>
      </c>
      <c r="Y678" t="s">
        <v>5902</v>
      </c>
      <c r="Z678" t="s">
        <v>99</v>
      </c>
    </row>
    <row r="679" spans="1:26">
      <c r="A679" t="s">
        <v>5903</v>
      </c>
      <c r="B679" t="s">
        <v>135</v>
      </c>
      <c r="C679">
        <v>2021</v>
      </c>
      <c r="D679" t="s">
        <v>3846</v>
      </c>
      <c r="E679" t="s">
        <v>3847</v>
      </c>
      <c r="F679" t="s">
        <v>1312</v>
      </c>
      <c r="G679" t="s">
        <v>99</v>
      </c>
      <c r="H679" t="s">
        <v>1313</v>
      </c>
      <c r="I679" t="s">
        <v>3848</v>
      </c>
      <c r="J679" t="s">
        <v>3849</v>
      </c>
      <c r="K679" t="s">
        <v>478</v>
      </c>
      <c r="L679" s="13">
        <v>44887.363807870373</v>
      </c>
      <c r="M679" s="13">
        <v>44887.363807870373</v>
      </c>
      <c r="N679" s="13">
        <v>44886.598437499997</v>
      </c>
      <c r="O679" t="s">
        <v>3850</v>
      </c>
      <c r="P679" t="s">
        <v>557</v>
      </c>
      <c r="Q679" t="s">
        <v>4784</v>
      </c>
      <c r="R679" t="s">
        <v>4510</v>
      </c>
      <c r="S679" t="s">
        <v>99</v>
      </c>
      <c r="T679" t="s">
        <v>99</v>
      </c>
      <c r="U679" t="s">
        <v>99</v>
      </c>
      <c r="V679" t="s">
        <v>4495</v>
      </c>
      <c r="W679" t="s">
        <v>4496</v>
      </c>
      <c r="X679" t="s">
        <v>99</v>
      </c>
      <c r="Y679" t="s">
        <v>99</v>
      </c>
      <c r="Z679" t="s">
        <v>99</v>
      </c>
    </row>
    <row r="680" spans="1:26">
      <c r="A680" t="s">
        <v>5904</v>
      </c>
      <c r="B680" t="s">
        <v>135</v>
      </c>
      <c r="C680">
        <v>2016</v>
      </c>
      <c r="D680" t="s">
        <v>3838</v>
      </c>
      <c r="E680" t="s">
        <v>3839</v>
      </c>
      <c r="F680" t="s">
        <v>3840</v>
      </c>
      <c r="G680" t="s">
        <v>99</v>
      </c>
      <c r="H680" t="s">
        <v>3841</v>
      </c>
      <c r="I680" t="s">
        <v>3842</v>
      </c>
      <c r="J680" t="s">
        <v>3843</v>
      </c>
      <c r="K680" t="s">
        <v>3844</v>
      </c>
      <c r="L680" s="13">
        <v>44887.363807870373</v>
      </c>
      <c r="M680" s="13">
        <v>44887.363807870373</v>
      </c>
      <c r="N680" s="13">
        <v>44886.598437499997</v>
      </c>
      <c r="O680" t="s">
        <v>3845</v>
      </c>
      <c r="P680" t="s">
        <v>2668</v>
      </c>
      <c r="Q680" t="s">
        <v>4629</v>
      </c>
      <c r="R680" t="s">
        <v>5905</v>
      </c>
      <c r="S680" t="s">
        <v>99</v>
      </c>
      <c r="T680" t="s">
        <v>99</v>
      </c>
      <c r="U680" t="s">
        <v>99</v>
      </c>
      <c r="V680" t="s">
        <v>4495</v>
      </c>
      <c r="W680" t="s">
        <v>4496</v>
      </c>
      <c r="X680" t="s">
        <v>99</v>
      </c>
      <c r="Y680" t="s">
        <v>99</v>
      </c>
      <c r="Z680" t="s">
        <v>99</v>
      </c>
    </row>
    <row r="681" spans="1:26">
      <c r="A681" t="s">
        <v>5906</v>
      </c>
      <c r="B681" t="s">
        <v>135</v>
      </c>
      <c r="C681">
        <v>2021</v>
      </c>
      <c r="D681" t="s">
        <v>3831</v>
      </c>
      <c r="E681" t="s">
        <v>3832</v>
      </c>
      <c r="F681" t="s">
        <v>3833</v>
      </c>
      <c r="G681" t="s">
        <v>99</v>
      </c>
      <c r="H681" t="s">
        <v>3834</v>
      </c>
      <c r="I681" t="s">
        <v>3835</v>
      </c>
      <c r="J681" t="s">
        <v>3836</v>
      </c>
      <c r="K681" t="s">
        <v>1982</v>
      </c>
      <c r="L681" s="13">
        <v>44887.363807870373</v>
      </c>
      <c r="M681" s="13">
        <v>44887.363807870373</v>
      </c>
      <c r="N681" s="13">
        <v>44886.598437499997</v>
      </c>
      <c r="O681" t="s">
        <v>3837</v>
      </c>
      <c r="P681" t="s">
        <v>363</v>
      </c>
      <c r="Q681" t="s">
        <v>4707</v>
      </c>
      <c r="R681" t="s">
        <v>5907</v>
      </c>
      <c r="S681" t="s">
        <v>99</v>
      </c>
      <c r="T681" t="s">
        <v>99</v>
      </c>
      <c r="U681" t="s">
        <v>99</v>
      </c>
      <c r="V681" t="s">
        <v>4495</v>
      </c>
      <c r="W681" t="s">
        <v>4496</v>
      </c>
      <c r="X681" t="s">
        <v>99</v>
      </c>
      <c r="Y681" t="s">
        <v>99</v>
      </c>
      <c r="Z681" t="s">
        <v>99</v>
      </c>
    </row>
    <row r="682" spans="1:26">
      <c r="A682" t="s">
        <v>5908</v>
      </c>
      <c r="B682" t="s">
        <v>222</v>
      </c>
      <c r="C682">
        <v>2021</v>
      </c>
      <c r="D682" t="s">
        <v>3818</v>
      </c>
      <c r="E682" t="s">
        <v>3819</v>
      </c>
      <c r="F682" t="s">
        <v>3820</v>
      </c>
      <c r="G682" t="s">
        <v>3821</v>
      </c>
      <c r="H682" t="s">
        <v>99</v>
      </c>
      <c r="I682" t="s">
        <v>99</v>
      </c>
      <c r="J682" t="s">
        <v>3822</v>
      </c>
      <c r="K682" t="s">
        <v>113</v>
      </c>
      <c r="L682" s="13">
        <v>44887.363807870373</v>
      </c>
      <c r="M682" s="13">
        <v>44887.363807870373</v>
      </c>
      <c r="N682" s="13">
        <v>44886.598437499997</v>
      </c>
      <c r="O682" t="s">
        <v>3823</v>
      </c>
      <c r="P682" t="s">
        <v>99</v>
      </c>
      <c r="Q682" t="s">
        <v>5909</v>
      </c>
      <c r="R682" t="s">
        <v>99</v>
      </c>
      <c r="S682" t="s">
        <v>99</v>
      </c>
      <c r="T682" t="s">
        <v>1226</v>
      </c>
      <c r="U682" t="s">
        <v>1227</v>
      </c>
      <c r="V682" t="s">
        <v>4495</v>
      </c>
      <c r="W682" t="s">
        <v>4496</v>
      </c>
      <c r="X682" t="s">
        <v>3824</v>
      </c>
      <c r="Y682" t="s">
        <v>5910</v>
      </c>
      <c r="Z682" t="s">
        <v>99</v>
      </c>
    </row>
    <row r="683" spans="1:26">
      <c r="A683" t="s">
        <v>5911</v>
      </c>
      <c r="B683" t="s">
        <v>222</v>
      </c>
      <c r="C683">
        <v>2022</v>
      </c>
      <c r="D683" t="s">
        <v>3811</v>
      </c>
      <c r="E683" t="s">
        <v>3812</v>
      </c>
      <c r="F683" t="s">
        <v>3813</v>
      </c>
      <c r="G683" t="s">
        <v>3814</v>
      </c>
      <c r="H683" t="s">
        <v>99</v>
      </c>
      <c r="I683" t="s">
        <v>99</v>
      </c>
      <c r="J683" t="s">
        <v>3815</v>
      </c>
      <c r="K683" t="s">
        <v>123</v>
      </c>
      <c r="L683" s="13">
        <v>44887.363807870373</v>
      </c>
      <c r="M683" s="13">
        <v>44887.363807870373</v>
      </c>
      <c r="N683" s="13">
        <v>44886.598425925928</v>
      </c>
      <c r="O683" t="s">
        <v>3816</v>
      </c>
      <c r="P683" t="s">
        <v>99</v>
      </c>
      <c r="Q683" t="s">
        <v>5912</v>
      </c>
      <c r="R683" t="s">
        <v>99</v>
      </c>
      <c r="S683" t="s">
        <v>34</v>
      </c>
      <c r="T683" t="s">
        <v>1362</v>
      </c>
      <c r="U683" t="s">
        <v>1363</v>
      </c>
      <c r="V683" t="s">
        <v>4495</v>
      </c>
      <c r="W683" t="s">
        <v>4496</v>
      </c>
      <c r="X683" t="s">
        <v>3817</v>
      </c>
      <c r="Y683" t="s">
        <v>5913</v>
      </c>
      <c r="Z683" t="s">
        <v>99</v>
      </c>
    </row>
    <row r="684" spans="1:26">
      <c r="A684" t="s">
        <v>5914</v>
      </c>
      <c r="B684" t="s">
        <v>222</v>
      </c>
      <c r="C684">
        <v>2014</v>
      </c>
      <c r="D684" t="s">
        <v>3804</v>
      </c>
      <c r="E684" t="s">
        <v>3805</v>
      </c>
      <c r="F684" t="s">
        <v>3806</v>
      </c>
      <c r="G684" t="s">
        <v>3807</v>
      </c>
      <c r="H684" t="s">
        <v>99</v>
      </c>
      <c r="I684" t="s">
        <v>99</v>
      </c>
      <c r="J684" t="s">
        <v>3808</v>
      </c>
      <c r="K684" t="s">
        <v>400</v>
      </c>
      <c r="L684" s="13">
        <v>44887.363807870373</v>
      </c>
      <c r="M684" s="13">
        <v>44887.363807870373</v>
      </c>
      <c r="N684" s="13">
        <v>44886.598425925928</v>
      </c>
      <c r="O684" t="s">
        <v>3809</v>
      </c>
      <c r="P684" t="s">
        <v>99</v>
      </c>
      <c r="Q684" t="s">
        <v>5915</v>
      </c>
      <c r="R684" t="s">
        <v>99</v>
      </c>
      <c r="S684" t="s">
        <v>99</v>
      </c>
      <c r="T684" t="s">
        <v>1218</v>
      </c>
      <c r="U684" t="s">
        <v>133</v>
      </c>
      <c r="V684" t="s">
        <v>99</v>
      </c>
      <c r="W684" t="s">
        <v>4496</v>
      </c>
      <c r="X684" t="s">
        <v>3810</v>
      </c>
      <c r="Y684" t="s">
        <v>5916</v>
      </c>
      <c r="Z684" t="s">
        <v>99</v>
      </c>
    </row>
    <row r="685" spans="1:26">
      <c r="A685" t="s">
        <v>5917</v>
      </c>
      <c r="B685" t="s">
        <v>222</v>
      </c>
      <c r="C685">
        <v>2007</v>
      </c>
      <c r="D685" t="s">
        <v>3791</v>
      </c>
      <c r="E685" t="s">
        <v>3792</v>
      </c>
      <c r="F685" t="s">
        <v>2622</v>
      </c>
      <c r="G685" t="s">
        <v>3793</v>
      </c>
      <c r="H685" t="s">
        <v>99</v>
      </c>
      <c r="I685" t="s">
        <v>99</v>
      </c>
      <c r="J685" t="s">
        <v>3794</v>
      </c>
      <c r="K685" t="s">
        <v>666</v>
      </c>
      <c r="L685" s="13">
        <v>44887.363807870373</v>
      </c>
      <c r="M685" s="13">
        <v>44887.363807870373</v>
      </c>
      <c r="N685" s="13">
        <v>44886.598414351851</v>
      </c>
      <c r="O685" t="s">
        <v>3795</v>
      </c>
      <c r="P685" t="s">
        <v>99</v>
      </c>
      <c r="Q685" t="s">
        <v>5918</v>
      </c>
      <c r="R685" t="s">
        <v>99</v>
      </c>
      <c r="S685" t="s">
        <v>99</v>
      </c>
      <c r="T685" t="s">
        <v>1218</v>
      </c>
      <c r="U685" t="s">
        <v>133</v>
      </c>
      <c r="V685" t="s">
        <v>4495</v>
      </c>
      <c r="W685" t="s">
        <v>4496</v>
      </c>
      <c r="X685" t="s">
        <v>3796</v>
      </c>
      <c r="Y685" t="s">
        <v>5919</v>
      </c>
      <c r="Z685" t="s">
        <v>99</v>
      </c>
    </row>
    <row r="686" spans="1:26">
      <c r="A686" t="s">
        <v>5920</v>
      </c>
      <c r="B686" t="s">
        <v>135</v>
      </c>
      <c r="C686">
        <v>2010</v>
      </c>
      <c r="D686" t="s">
        <v>3785</v>
      </c>
      <c r="E686" t="s">
        <v>3786</v>
      </c>
      <c r="F686" t="s">
        <v>1312</v>
      </c>
      <c r="G686" t="s">
        <v>99</v>
      </c>
      <c r="H686" t="s">
        <v>1313</v>
      </c>
      <c r="I686" t="s">
        <v>3787</v>
      </c>
      <c r="J686" t="s">
        <v>3788</v>
      </c>
      <c r="K686" t="s">
        <v>3789</v>
      </c>
      <c r="L686" s="13">
        <v>44887.363807870373</v>
      </c>
      <c r="M686" s="13">
        <v>44887.363807870373</v>
      </c>
      <c r="N686" s="13">
        <v>44886.598402777781</v>
      </c>
      <c r="O686" t="s">
        <v>3790</v>
      </c>
      <c r="P686" t="s">
        <v>288</v>
      </c>
      <c r="Q686" t="s">
        <v>4947</v>
      </c>
      <c r="R686" t="s">
        <v>4510</v>
      </c>
      <c r="S686" t="s">
        <v>5921</v>
      </c>
      <c r="T686" t="s">
        <v>99</v>
      </c>
      <c r="U686" t="s">
        <v>99</v>
      </c>
      <c r="V686" t="s">
        <v>4495</v>
      </c>
      <c r="W686" t="s">
        <v>4496</v>
      </c>
      <c r="X686" t="s">
        <v>99</v>
      </c>
      <c r="Y686" t="s">
        <v>99</v>
      </c>
      <c r="Z686" t="s">
        <v>99</v>
      </c>
    </row>
    <row r="687" spans="1:26">
      <c r="A687" t="s">
        <v>5922</v>
      </c>
      <c r="B687" t="s">
        <v>135</v>
      </c>
      <c r="C687">
        <v>2017</v>
      </c>
      <c r="D687" t="s">
        <v>3825</v>
      </c>
      <c r="E687" t="s">
        <v>3826</v>
      </c>
      <c r="F687" t="s">
        <v>1725</v>
      </c>
      <c r="G687" t="s">
        <v>99</v>
      </c>
      <c r="H687" t="s">
        <v>1726</v>
      </c>
      <c r="I687" t="s">
        <v>3827</v>
      </c>
      <c r="J687" t="s">
        <v>3828</v>
      </c>
      <c r="K687" t="s">
        <v>3829</v>
      </c>
      <c r="L687" s="13">
        <v>44887.363807870373</v>
      </c>
      <c r="M687" s="13">
        <v>44887.363807870373</v>
      </c>
      <c r="N687" s="13">
        <v>44886.598437499997</v>
      </c>
      <c r="O687" t="s">
        <v>3830</v>
      </c>
      <c r="P687" t="s">
        <v>288</v>
      </c>
      <c r="Q687" t="s">
        <v>5361</v>
      </c>
      <c r="R687" t="s">
        <v>5424</v>
      </c>
      <c r="S687" t="s">
        <v>99</v>
      </c>
      <c r="T687" t="s">
        <v>99</v>
      </c>
      <c r="U687" t="s">
        <v>99</v>
      </c>
      <c r="V687" t="s">
        <v>4495</v>
      </c>
      <c r="W687" t="s">
        <v>4496</v>
      </c>
      <c r="X687" t="s">
        <v>99</v>
      </c>
      <c r="Y687" t="s">
        <v>99</v>
      </c>
      <c r="Z687" t="s">
        <v>99</v>
      </c>
    </row>
    <row r="688" spans="1:26">
      <c r="A688" t="s">
        <v>5923</v>
      </c>
      <c r="B688" t="s">
        <v>222</v>
      </c>
      <c r="C688">
        <v>2006</v>
      </c>
      <c r="D688" t="s">
        <v>3797</v>
      </c>
      <c r="E688" t="s">
        <v>3798</v>
      </c>
      <c r="F688" t="s">
        <v>3799</v>
      </c>
      <c r="G688" t="s">
        <v>3800</v>
      </c>
      <c r="H688" t="s">
        <v>99</v>
      </c>
      <c r="I688" t="s">
        <v>99</v>
      </c>
      <c r="J688" t="s">
        <v>3801</v>
      </c>
      <c r="K688" t="s">
        <v>279</v>
      </c>
      <c r="L688" s="13">
        <v>44887.363807870373</v>
      </c>
      <c r="M688" s="13">
        <v>44887.363807870373</v>
      </c>
      <c r="N688" s="13">
        <v>44886.598425925928</v>
      </c>
      <c r="O688" t="s">
        <v>3802</v>
      </c>
      <c r="P688" t="s">
        <v>99</v>
      </c>
      <c r="Q688" t="s">
        <v>99</v>
      </c>
      <c r="R688" t="s">
        <v>99</v>
      </c>
      <c r="S688" t="s">
        <v>5924</v>
      </c>
      <c r="T688" t="s">
        <v>1618</v>
      </c>
      <c r="U688" t="s">
        <v>1619</v>
      </c>
      <c r="V688" t="s">
        <v>4495</v>
      </c>
      <c r="W688" t="s">
        <v>4496</v>
      </c>
      <c r="X688" t="s">
        <v>3803</v>
      </c>
      <c r="Y688" t="s">
        <v>5102</v>
      </c>
      <c r="Z688" t="s">
        <v>99</v>
      </c>
    </row>
    <row r="689" spans="1:26">
      <c r="A689" t="s">
        <v>5925</v>
      </c>
      <c r="B689" t="s">
        <v>135</v>
      </c>
      <c r="C689">
        <v>2010</v>
      </c>
      <c r="D689" t="s">
        <v>3779</v>
      </c>
      <c r="E689" t="s">
        <v>3780</v>
      </c>
      <c r="F689" t="s">
        <v>1312</v>
      </c>
      <c r="G689" t="s">
        <v>99</v>
      </c>
      <c r="H689" t="s">
        <v>1313</v>
      </c>
      <c r="I689" t="s">
        <v>3781</v>
      </c>
      <c r="J689" t="s">
        <v>3782</v>
      </c>
      <c r="K689" t="s">
        <v>3783</v>
      </c>
      <c r="L689" s="13">
        <v>44887.363807870373</v>
      </c>
      <c r="M689" s="13">
        <v>44887.363807870373</v>
      </c>
      <c r="N689" s="13">
        <v>44886.598402777781</v>
      </c>
      <c r="O689" t="s">
        <v>3784</v>
      </c>
      <c r="P689" t="s">
        <v>682</v>
      </c>
      <c r="Q689" t="s">
        <v>5926</v>
      </c>
      <c r="R689" t="s">
        <v>4510</v>
      </c>
      <c r="S689" t="s">
        <v>99</v>
      </c>
      <c r="T689" t="s">
        <v>99</v>
      </c>
      <c r="U689" t="s">
        <v>99</v>
      </c>
      <c r="V689" t="s">
        <v>4495</v>
      </c>
      <c r="W689" t="s">
        <v>4496</v>
      </c>
      <c r="X689" t="s">
        <v>99</v>
      </c>
      <c r="Y689" t="s">
        <v>99</v>
      </c>
      <c r="Z689" t="s">
        <v>99</v>
      </c>
    </row>
    <row r="690" spans="1:26">
      <c r="A690" t="s">
        <v>5927</v>
      </c>
      <c r="B690" t="s">
        <v>222</v>
      </c>
      <c r="C690">
        <v>2020</v>
      </c>
      <c r="D690" t="s">
        <v>3739</v>
      </c>
      <c r="E690" t="s">
        <v>3740</v>
      </c>
      <c r="F690" t="s">
        <v>3741</v>
      </c>
      <c r="G690" t="s">
        <v>3742</v>
      </c>
      <c r="H690" t="s">
        <v>99</v>
      </c>
      <c r="I690" t="s">
        <v>99</v>
      </c>
      <c r="J690" t="s">
        <v>3743</v>
      </c>
      <c r="K690" t="s">
        <v>176</v>
      </c>
      <c r="L690" s="13">
        <v>44887.363807870373</v>
      </c>
      <c r="M690" s="13">
        <v>44887.363807870373</v>
      </c>
      <c r="N690" s="13">
        <v>44886.598368055558</v>
      </c>
      <c r="O690" t="s">
        <v>3744</v>
      </c>
      <c r="P690" t="s">
        <v>99</v>
      </c>
      <c r="Q690" t="s">
        <v>99</v>
      </c>
      <c r="R690" t="s">
        <v>99</v>
      </c>
      <c r="S690" t="s">
        <v>99</v>
      </c>
      <c r="T690" t="s">
        <v>1226</v>
      </c>
      <c r="U690" t="s">
        <v>1227</v>
      </c>
      <c r="V690" t="s">
        <v>4495</v>
      </c>
      <c r="W690" t="s">
        <v>4496</v>
      </c>
      <c r="X690" t="s">
        <v>3745</v>
      </c>
      <c r="Y690" t="s">
        <v>99</v>
      </c>
      <c r="Z690" t="s">
        <v>99</v>
      </c>
    </row>
    <row r="691" spans="1:26">
      <c r="A691" t="s">
        <v>5928</v>
      </c>
      <c r="B691" t="s">
        <v>135</v>
      </c>
      <c r="C691">
        <v>2019</v>
      </c>
      <c r="D691" t="s">
        <v>3714</v>
      </c>
      <c r="E691" t="s">
        <v>3715</v>
      </c>
      <c r="F691" t="s">
        <v>3716</v>
      </c>
      <c r="G691" t="s">
        <v>99</v>
      </c>
      <c r="H691" t="s">
        <v>3717</v>
      </c>
      <c r="I691" t="s">
        <v>3718</v>
      </c>
      <c r="J691" t="s">
        <v>3719</v>
      </c>
      <c r="K691" t="s">
        <v>263</v>
      </c>
      <c r="L691" s="13">
        <v>44887.363807870373</v>
      </c>
      <c r="M691" s="13">
        <v>44887.363807870373</v>
      </c>
      <c r="N691" s="13">
        <v>44886.598356481481</v>
      </c>
      <c r="O691" t="s">
        <v>3720</v>
      </c>
      <c r="P691" t="s">
        <v>870</v>
      </c>
      <c r="Q691" t="s">
        <v>5407</v>
      </c>
      <c r="R691" t="s">
        <v>3716</v>
      </c>
      <c r="S691" t="s">
        <v>5929</v>
      </c>
      <c r="T691" t="s">
        <v>99</v>
      </c>
      <c r="U691" t="s">
        <v>99</v>
      </c>
      <c r="V691" t="s">
        <v>4495</v>
      </c>
      <c r="W691" t="s">
        <v>4496</v>
      </c>
      <c r="X691" t="s">
        <v>99</v>
      </c>
      <c r="Y691" t="s">
        <v>99</v>
      </c>
      <c r="Z691" t="s">
        <v>99</v>
      </c>
    </row>
    <row r="692" spans="1:26">
      <c r="A692" t="s">
        <v>5930</v>
      </c>
      <c r="B692" t="s">
        <v>222</v>
      </c>
      <c r="C692">
        <v>2012</v>
      </c>
      <c r="D692" t="s">
        <v>3707</v>
      </c>
      <c r="E692" t="s">
        <v>3708</v>
      </c>
      <c r="F692" t="s">
        <v>3709</v>
      </c>
      <c r="G692" t="s">
        <v>3710</v>
      </c>
      <c r="H692" t="s">
        <v>99</v>
      </c>
      <c r="I692" t="s">
        <v>99</v>
      </c>
      <c r="J692" t="s">
        <v>3711</v>
      </c>
      <c r="K692" t="s">
        <v>351</v>
      </c>
      <c r="L692" s="13">
        <v>44887.363807870373</v>
      </c>
      <c r="M692" s="13">
        <v>44887.363807870373</v>
      </c>
      <c r="N692" s="13">
        <v>44886.598356481481</v>
      </c>
      <c r="O692" t="s">
        <v>3712</v>
      </c>
      <c r="P692" t="s">
        <v>99</v>
      </c>
      <c r="Q692" t="s">
        <v>5931</v>
      </c>
      <c r="R692" t="s">
        <v>99</v>
      </c>
      <c r="S692" t="s">
        <v>99</v>
      </c>
      <c r="T692" t="s">
        <v>1218</v>
      </c>
      <c r="U692" t="s">
        <v>133</v>
      </c>
      <c r="V692" t="s">
        <v>4495</v>
      </c>
      <c r="W692" t="s">
        <v>4496</v>
      </c>
      <c r="X692" t="s">
        <v>3713</v>
      </c>
      <c r="Y692" t="s">
        <v>5932</v>
      </c>
      <c r="Z692" t="s">
        <v>99</v>
      </c>
    </row>
    <row r="693" spans="1:26">
      <c r="A693" t="s">
        <v>5933</v>
      </c>
      <c r="B693" t="s">
        <v>135</v>
      </c>
      <c r="C693">
        <v>2021</v>
      </c>
      <c r="D693" t="s">
        <v>3771</v>
      </c>
      <c r="E693" t="s">
        <v>3772</v>
      </c>
      <c r="F693" t="s">
        <v>3773</v>
      </c>
      <c r="G693" t="s">
        <v>99</v>
      </c>
      <c r="H693" t="s">
        <v>3774</v>
      </c>
      <c r="I693" t="s">
        <v>3775</v>
      </c>
      <c r="J693" t="s">
        <v>3776</v>
      </c>
      <c r="K693" t="s">
        <v>3777</v>
      </c>
      <c r="L693" s="13">
        <v>44887.363807870373</v>
      </c>
      <c r="M693" s="13">
        <v>44887.363807870373</v>
      </c>
      <c r="N693" s="13">
        <v>44886.598402777781</v>
      </c>
      <c r="O693" t="s">
        <v>3778</v>
      </c>
      <c r="P693" t="s">
        <v>941</v>
      </c>
      <c r="Q693" t="s">
        <v>5567</v>
      </c>
      <c r="R693" t="s">
        <v>5934</v>
      </c>
      <c r="S693" t="s">
        <v>5935</v>
      </c>
      <c r="T693" t="s">
        <v>99</v>
      </c>
      <c r="U693" t="s">
        <v>99</v>
      </c>
      <c r="V693" t="s">
        <v>4495</v>
      </c>
      <c r="W693" t="s">
        <v>4496</v>
      </c>
      <c r="X693" t="s">
        <v>99</v>
      </c>
      <c r="Y693" t="s">
        <v>99</v>
      </c>
      <c r="Z693" t="s">
        <v>99</v>
      </c>
    </row>
    <row r="694" spans="1:26">
      <c r="A694" t="s">
        <v>5936</v>
      </c>
      <c r="B694" t="s">
        <v>222</v>
      </c>
      <c r="C694">
        <v>2020</v>
      </c>
      <c r="D694" t="s">
        <v>3764</v>
      </c>
      <c r="E694" t="s">
        <v>3765</v>
      </c>
      <c r="F694" t="s">
        <v>3766</v>
      </c>
      <c r="G694" t="s">
        <v>3767</v>
      </c>
      <c r="H694" t="s">
        <v>99</v>
      </c>
      <c r="I694" t="s">
        <v>99</v>
      </c>
      <c r="J694" t="s">
        <v>3768</v>
      </c>
      <c r="K694" t="s">
        <v>176</v>
      </c>
      <c r="L694" s="13">
        <v>44887.363807870373</v>
      </c>
      <c r="M694" s="13">
        <v>44887.363807870373</v>
      </c>
      <c r="N694" s="13">
        <v>44886.598391203705</v>
      </c>
      <c r="O694" t="s">
        <v>3769</v>
      </c>
      <c r="P694" t="s">
        <v>99</v>
      </c>
      <c r="Q694" t="s">
        <v>5937</v>
      </c>
      <c r="R694" t="s">
        <v>99</v>
      </c>
      <c r="S694" t="s">
        <v>99</v>
      </c>
      <c r="T694" t="s">
        <v>1226</v>
      </c>
      <c r="U694" t="s">
        <v>1227</v>
      </c>
      <c r="V694" t="s">
        <v>4495</v>
      </c>
      <c r="W694" t="s">
        <v>4496</v>
      </c>
      <c r="X694" t="s">
        <v>3770</v>
      </c>
      <c r="Y694" t="s">
        <v>5938</v>
      </c>
      <c r="Z694" t="s">
        <v>99</v>
      </c>
    </row>
    <row r="695" spans="1:26">
      <c r="A695" t="s">
        <v>5939</v>
      </c>
      <c r="B695" t="s">
        <v>222</v>
      </c>
      <c r="C695">
        <v>2014</v>
      </c>
      <c r="D695" t="s">
        <v>3758</v>
      </c>
      <c r="E695" t="s">
        <v>3759</v>
      </c>
      <c r="F695" t="s">
        <v>2451</v>
      </c>
      <c r="G695" t="s">
        <v>3760</v>
      </c>
      <c r="H695" t="s">
        <v>99</v>
      </c>
      <c r="I695" t="s">
        <v>99</v>
      </c>
      <c r="J695" t="s">
        <v>3761</v>
      </c>
      <c r="K695" t="s">
        <v>400</v>
      </c>
      <c r="L695" s="13">
        <v>44887.363807870373</v>
      </c>
      <c r="M695" s="13">
        <v>44887.363807870373</v>
      </c>
      <c r="N695" s="13">
        <v>44886.598391203705</v>
      </c>
      <c r="O695" t="s">
        <v>3762</v>
      </c>
      <c r="P695" t="s">
        <v>99</v>
      </c>
      <c r="Q695" t="s">
        <v>5940</v>
      </c>
      <c r="R695" t="s">
        <v>99</v>
      </c>
      <c r="S695" t="s">
        <v>99</v>
      </c>
      <c r="T695" t="s">
        <v>1226</v>
      </c>
      <c r="U695" t="s">
        <v>1227</v>
      </c>
      <c r="V695" t="s">
        <v>99</v>
      </c>
      <c r="W695" t="s">
        <v>4496</v>
      </c>
      <c r="X695" t="s">
        <v>3763</v>
      </c>
      <c r="Y695" t="s">
        <v>5941</v>
      </c>
      <c r="Z695" t="s">
        <v>99</v>
      </c>
    </row>
    <row r="696" spans="1:26">
      <c r="A696" t="s">
        <v>5942</v>
      </c>
      <c r="B696" t="s">
        <v>222</v>
      </c>
      <c r="C696">
        <v>2019</v>
      </c>
      <c r="D696" t="s">
        <v>3746</v>
      </c>
      <c r="E696" t="s">
        <v>3747</v>
      </c>
      <c r="F696" t="s">
        <v>3748</v>
      </c>
      <c r="G696" t="s">
        <v>3749</v>
      </c>
      <c r="H696" t="s">
        <v>99</v>
      </c>
      <c r="I696" t="s">
        <v>99</v>
      </c>
      <c r="J696" t="s">
        <v>3750</v>
      </c>
      <c r="K696" t="s">
        <v>271</v>
      </c>
      <c r="L696" s="13">
        <v>44887.363807870373</v>
      </c>
      <c r="M696" s="13">
        <v>44887.363807870373</v>
      </c>
      <c r="N696" s="13">
        <v>44886.598379629628</v>
      </c>
      <c r="O696" t="s">
        <v>3751</v>
      </c>
      <c r="P696" t="s">
        <v>99</v>
      </c>
      <c r="Q696" t="s">
        <v>99</v>
      </c>
      <c r="R696" t="s">
        <v>99</v>
      </c>
      <c r="S696" t="s">
        <v>99</v>
      </c>
      <c r="T696" t="s">
        <v>1226</v>
      </c>
      <c r="U696" t="s">
        <v>1227</v>
      </c>
      <c r="V696" t="s">
        <v>4495</v>
      </c>
      <c r="W696" t="s">
        <v>4496</v>
      </c>
      <c r="X696" t="s">
        <v>3752</v>
      </c>
      <c r="Y696" t="s">
        <v>5943</v>
      </c>
      <c r="Z696" t="s">
        <v>99</v>
      </c>
    </row>
    <row r="697" spans="1:26">
      <c r="A697" t="s">
        <v>5944</v>
      </c>
      <c r="B697" t="s">
        <v>135</v>
      </c>
      <c r="C697">
        <v>2006</v>
      </c>
      <c r="D697" t="s">
        <v>3731</v>
      </c>
      <c r="E697" t="s">
        <v>3732</v>
      </c>
      <c r="F697" t="s">
        <v>3733</v>
      </c>
      <c r="G697" t="s">
        <v>99</v>
      </c>
      <c r="H697" t="s">
        <v>3734</v>
      </c>
      <c r="I697" t="s">
        <v>3735</v>
      </c>
      <c r="J697" t="s">
        <v>3736</v>
      </c>
      <c r="K697" t="s">
        <v>3737</v>
      </c>
      <c r="L697" s="13">
        <v>44887.363807870373</v>
      </c>
      <c r="M697" s="13">
        <v>44887.363807870373</v>
      </c>
      <c r="N697" s="13">
        <v>44886.598368055558</v>
      </c>
      <c r="O697" t="s">
        <v>3738</v>
      </c>
      <c r="P697" t="s">
        <v>182</v>
      </c>
      <c r="Q697" t="s">
        <v>557</v>
      </c>
      <c r="R697" t="s">
        <v>5945</v>
      </c>
      <c r="S697" t="s">
        <v>5946</v>
      </c>
      <c r="T697" t="s">
        <v>99</v>
      </c>
      <c r="U697" t="s">
        <v>99</v>
      </c>
      <c r="V697" t="s">
        <v>4495</v>
      </c>
      <c r="W697" t="s">
        <v>4496</v>
      </c>
      <c r="X697" t="s">
        <v>99</v>
      </c>
      <c r="Y697" t="s">
        <v>99</v>
      </c>
      <c r="Z697" t="s">
        <v>99</v>
      </c>
    </row>
    <row r="698" spans="1:26">
      <c r="A698" t="s">
        <v>5947</v>
      </c>
      <c r="B698" t="s">
        <v>135</v>
      </c>
      <c r="C698">
        <v>2021</v>
      </c>
      <c r="D698" t="s">
        <v>3726</v>
      </c>
      <c r="E698" t="s">
        <v>3727</v>
      </c>
      <c r="F698" t="s">
        <v>1486</v>
      </c>
      <c r="G698" t="s">
        <v>99</v>
      </c>
      <c r="H698" t="s">
        <v>1487</v>
      </c>
      <c r="I698" t="s">
        <v>3728</v>
      </c>
      <c r="J698" t="s">
        <v>3729</v>
      </c>
      <c r="K698" t="s">
        <v>1706</v>
      </c>
      <c r="L698" s="13">
        <v>44887.363807870373</v>
      </c>
      <c r="M698" s="13">
        <v>44887.363807870373</v>
      </c>
      <c r="N698" s="13">
        <v>44886.598368055558</v>
      </c>
      <c r="O698" t="s">
        <v>3730</v>
      </c>
      <c r="P698" t="s">
        <v>288</v>
      </c>
      <c r="Q698" t="s">
        <v>5333</v>
      </c>
      <c r="R698" t="s">
        <v>4853</v>
      </c>
      <c r="S698" t="s">
        <v>99</v>
      </c>
      <c r="T698" t="s">
        <v>99</v>
      </c>
      <c r="U698" t="s">
        <v>99</v>
      </c>
      <c r="V698" t="s">
        <v>4495</v>
      </c>
      <c r="W698" t="s">
        <v>4496</v>
      </c>
      <c r="X698" t="s">
        <v>99</v>
      </c>
      <c r="Y698" t="s">
        <v>99</v>
      </c>
      <c r="Z698" t="s">
        <v>99</v>
      </c>
    </row>
    <row r="699" spans="1:26">
      <c r="A699" t="s">
        <v>5948</v>
      </c>
      <c r="B699" t="s">
        <v>222</v>
      </c>
      <c r="C699">
        <v>2008</v>
      </c>
      <c r="D699" t="s">
        <v>3721</v>
      </c>
      <c r="E699" t="s">
        <v>3722</v>
      </c>
      <c r="F699" t="s">
        <v>2987</v>
      </c>
      <c r="G699" t="s">
        <v>2988</v>
      </c>
      <c r="H699" t="s">
        <v>99</v>
      </c>
      <c r="I699" t="s">
        <v>99</v>
      </c>
      <c r="J699" t="s">
        <v>3723</v>
      </c>
      <c r="K699" t="s">
        <v>736</v>
      </c>
      <c r="L699" s="13">
        <v>44887.363807870373</v>
      </c>
      <c r="M699" s="13">
        <v>44887.363807870373</v>
      </c>
      <c r="N699" s="13">
        <v>44886.598356481481</v>
      </c>
      <c r="O699" t="s">
        <v>3724</v>
      </c>
      <c r="P699" t="s">
        <v>99</v>
      </c>
      <c r="Q699" t="s">
        <v>5488</v>
      </c>
      <c r="R699" t="s">
        <v>99</v>
      </c>
      <c r="S699" t="s">
        <v>5949</v>
      </c>
      <c r="T699" t="s">
        <v>1218</v>
      </c>
      <c r="U699" t="s">
        <v>133</v>
      </c>
      <c r="V699" t="s">
        <v>99</v>
      </c>
      <c r="W699" t="s">
        <v>4496</v>
      </c>
      <c r="X699" t="s">
        <v>3725</v>
      </c>
      <c r="Y699" t="s">
        <v>5489</v>
      </c>
      <c r="Z699" t="s">
        <v>99</v>
      </c>
    </row>
    <row r="700" spans="1:26">
      <c r="A700" t="s">
        <v>5950</v>
      </c>
      <c r="B700" t="s">
        <v>222</v>
      </c>
      <c r="C700">
        <v>2005</v>
      </c>
      <c r="D700" t="s">
        <v>3698</v>
      </c>
      <c r="E700" t="s">
        <v>3699</v>
      </c>
      <c r="F700" t="s">
        <v>1272</v>
      </c>
      <c r="G700" t="s">
        <v>1273</v>
      </c>
      <c r="H700" t="s">
        <v>99</v>
      </c>
      <c r="I700" t="s">
        <v>99</v>
      </c>
      <c r="J700" t="s">
        <v>3700</v>
      </c>
      <c r="K700" t="s">
        <v>846</v>
      </c>
      <c r="L700" s="13">
        <v>44887.363807870373</v>
      </c>
      <c r="M700" s="13">
        <v>44887.363807870373</v>
      </c>
      <c r="N700" s="13">
        <v>44886.598356481481</v>
      </c>
      <c r="O700" t="s">
        <v>3540</v>
      </c>
      <c r="P700" t="s">
        <v>99</v>
      </c>
      <c r="Q700" t="s">
        <v>5099</v>
      </c>
      <c r="R700" t="s">
        <v>99</v>
      </c>
      <c r="S700" t="s">
        <v>5951</v>
      </c>
      <c r="T700" t="s">
        <v>1218</v>
      </c>
      <c r="U700" t="s">
        <v>133</v>
      </c>
      <c r="V700" t="s">
        <v>4495</v>
      </c>
      <c r="W700" t="s">
        <v>4496</v>
      </c>
      <c r="X700" t="s">
        <v>3701</v>
      </c>
      <c r="Y700" t="s">
        <v>5100</v>
      </c>
      <c r="Z700" t="s">
        <v>4556</v>
      </c>
    </row>
    <row r="701" spans="1:26">
      <c r="A701" t="s">
        <v>5952</v>
      </c>
      <c r="B701" t="s">
        <v>222</v>
      </c>
      <c r="C701">
        <v>2015</v>
      </c>
      <c r="D701" t="s">
        <v>3662</v>
      </c>
      <c r="E701" t="s">
        <v>3663</v>
      </c>
      <c r="F701" t="s">
        <v>3664</v>
      </c>
      <c r="G701" t="s">
        <v>3665</v>
      </c>
      <c r="H701" t="s">
        <v>99</v>
      </c>
      <c r="I701" t="s">
        <v>99</v>
      </c>
      <c r="J701" t="s">
        <v>3666</v>
      </c>
      <c r="K701" t="s">
        <v>564</v>
      </c>
      <c r="L701" s="13">
        <v>44887.363807870373</v>
      </c>
      <c r="M701" s="13">
        <v>44887.363807870373</v>
      </c>
      <c r="N701" s="13">
        <v>44886.598344907405</v>
      </c>
      <c r="O701" t="s">
        <v>3667</v>
      </c>
      <c r="P701" t="s">
        <v>99</v>
      </c>
      <c r="Q701" t="s">
        <v>5953</v>
      </c>
      <c r="R701" t="s">
        <v>99</v>
      </c>
      <c r="S701" t="s">
        <v>99</v>
      </c>
      <c r="T701" t="s">
        <v>1226</v>
      </c>
      <c r="U701" t="s">
        <v>1227</v>
      </c>
      <c r="V701" t="s">
        <v>99</v>
      </c>
      <c r="W701" t="s">
        <v>4496</v>
      </c>
      <c r="X701" t="s">
        <v>3668</v>
      </c>
      <c r="Y701" t="s">
        <v>5570</v>
      </c>
      <c r="Z701" t="s">
        <v>99</v>
      </c>
    </row>
    <row r="702" spans="1:26">
      <c r="A702" t="s">
        <v>5954</v>
      </c>
      <c r="B702" t="s">
        <v>135</v>
      </c>
      <c r="C702">
        <v>2021</v>
      </c>
      <c r="D702" t="s">
        <v>3654</v>
      </c>
      <c r="E702" t="s">
        <v>3655</v>
      </c>
      <c r="F702" t="s">
        <v>3656</v>
      </c>
      <c r="G702" t="s">
        <v>99</v>
      </c>
      <c r="H702" t="s">
        <v>3657</v>
      </c>
      <c r="I702" t="s">
        <v>3658</v>
      </c>
      <c r="J702" t="s">
        <v>3659</v>
      </c>
      <c r="K702" t="s">
        <v>3660</v>
      </c>
      <c r="L702" s="13">
        <v>44887.363807870373</v>
      </c>
      <c r="M702" s="13">
        <v>44887.363807870373</v>
      </c>
      <c r="N702" s="13">
        <v>44886.598344907405</v>
      </c>
      <c r="O702" t="s">
        <v>3661</v>
      </c>
      <c r="P702" t="s">
        <v>941</v>
      </c>
      <c r="Q702" t="s">
        <v>4552</v>
      </c>
      <c r="R702" t="s">
        <v>5955</v>
      </c>
      <c r="S702" t="s">
        <v>99</v>
      </c>
      <c r="T702" t="s">
        <v>99</v>
      </c>
      <c r="U702" t="s">
        <v>99</v>
      </c>
      <c r="V702" t="s">
        <v>4495</v>
      </c>
      <c r="W702" t="s">
        <v>4496</v>
      </c>
      <c r="X702" t="s">
        <v>99</v>
      </c>
      <c r="Y702" t="s">
        <v>99</v>
      </c>
      <c r="Z702" t="s">
        <v>99</v>
      </c>
    </row>
    <row r="703" spans="1:26">
      <c r="A703" t="s">
        <v>5956</v>
      </c>
      <c r="B703" t="s">
        <v>135</v>
      </c>
      <c r="C703">
        <v>2022</v>
      </c>
      <c r="D703" t="s">
        <v>3702</v>
      </c>
      <c r="E703" t="s">
        <v>3703</v>
      </c>
      <c r="F703" t="s">
        <v>1265</v>
      </c>
      <c r="G703" t="s">
        <v>99</v>
      </c>
      <c r="H703" t="s">
        <v>1266</v>
      </c>
      <c r="I703" t="s">
        <v>3704</v>
      </c>
      <c r="J703" t="s">
        <v>3705</v>
      </c>
      <c r="K703" t="s">
        <v>2553</v>
      </c>
      <c r="L703" s="13">
        <v>44887.363807870373</v>
      </c>
      <c r="M703" s="13">
        <v>44887.363807870373</v>
      </c>
      <c r="N703" s="13">
        <v>44886.598356481481</v>
      </c>
      <c r="O703" t="s">
        <v>3706</v>
      </c>
      <c r="P703" t="s">
        <v>363</v>
      </c>
      <c r="Q703" t="s">
        <v>4512</v>
      </c>
      <c r="R703" t="s">
        <v>4513</v>
      </c>
      <c r="S703" t="s">
        <v>99</v>
      </c>
      <c r="T703" t="s">
        <v>99</v>
      </c>
      <c r="U703" t="s">
        <v>99</v>
      </c>
      <c r="V703" t="s">
        <v>4495</v>
      </c>
      <c r="W703" t="s">
        <v>4496</v>
      </c>
      <c r="X703" t="s">
        <v>99</v>
      </c>
      <c r="Y703" t="s">
        <v>99</v>
      </c>
      <c r="Z703" t="s">
        <v>99</v>
      </c>
    </row>
    <row r="704" spans="1:26">
      <c r="A704" t="s">
        <v>5957</v>
      </c>
      <c r="B704" t="s">
        <v>222</v>
      </c>
      <c r="C704">
        <v>2004</v>
      </c>
      <c r="D704" t="s">
        <v>3689</v>
      </c>
      <c r="E704" t="s">
        <v>3690</v>
      </c>
      <c r="F704" t="s">
        <v>3691</v>
      </c>
      <c r="G704" t="s">
        <v>3692</v>
      </c>
      <c r="H704" t="s">
        <v>99</v>
      </c>
      <c r="I704" t="s">
        <v>99</v>
      </c>
      <c r="J704" t="s">
        <v>3693</v>
      </c>
      <c r="K704" t="s">
        <v>1180</v>
      </c>
      <c r="L704" s="13">
        <v>44887.363807870373</v>
      </c>
      <c r="M704" s="13">
        <v>44887.363807870373</v>
      </c>
      <c r="N704" s="13">
        <v>44886.598356481481</v>
      </c>
      <c r="O704" t="s">
        <v>3694</v>
      </c>
      <c r="P704" t="s">
        <v>99</v>
      </c>
      <c r="Q704" t="s">
        <v>99</v>
      </c>
      <c r="R704" t="s">
        <v>99</v>
      </c>
      <c r="S704" t="s">
        <v>99</v>
      </c>
      <c r="T704" t="s">
        <v>3695</v>
      </c>
      <c r="U704" t="s">
        <v>3696</v>
      </c>
      <c r="V704" t="s">
        <v>4495</v>
      </c>
      <c r="W704" t="s">
        <v>4496</v>
      </c>
      <c r="X704" t="s">
        <v>3697</v>
      </c>
      <c r="Y704" t="s">
        <v>5958</v>
      </c>
      <c r="Z704" t="s">
        <v>99</v>
      </c>
    </row>
    <row r="705" spans="1:26">
      <c r="A705" t="s">
        <v>5959</v>
      </c>
      <c r="B705" t="s">
        <v>135</v>
      </c>
      <c r="C705">
        <v>2020</v>
      </c>
      <c r="D705" t="s">
        <v>3681</v>
      </c>
      <c r="E705" t="s">
        <v>3682</v>
      </c>
      <c r="F705" t="s">
        <v>3683</v>
      </c>
      <c r="G705" t="s">
        <v>99</v>
      </c>
      <c r="H705" t="s">
        <v>3684</v>
      </c>
      <c r="I705" t="s">
        <v>3685</v>
      </c>
      <c r="J705" t="s">
        <v>3686</v>
      </c>
      <c r="K705" t="s">
        <v>3687</v>
      </c>
      <c r="L705" s="13">
        <v>44887.363807870373</v>
      </c>
      <c r="M705" s="13">
        <v>44887.363807870373</v>
      </c>
      <c r="N705" s="13">
        <v>44886.598356481481</v>
      </c>
      <c r="O705" t="s">
        <v>3688</v>
      </c>
      <c r="P705" t="s">
        <v>941</v>
      </c>
      <c r="Q705" t="s">
        <v>5458</v>
      </c>
      <c r="R705" t="s">
        <v>5960</v>
      </c>
      <c r="S705" t="s">
        <v>99</v>
      </c>
      <c r="T705" t="s">
        <v>99</v>
      </c>
      <c r="U705" t="s">
        <v>99</v>
      </c>
      <c r="V705" t="s">
        <v>4495</v>
      </c>
      <c r="W705" t="s">
        <v>4496</v>
      </c>
      <c r="X705" t="s">
        <v>99</v>
      </c>
      <c r="Y705" t="s">
        <v>99</v>
      </c>
      <c r="Z705" t="s">
        <v>99</v>
      </c>
    </row>
    <row r="706" spans="1:26">
      <c r="A706" t="s">
        <v>5961</v>
      </c>
      <c r="B706" t="s">
        <v>222</v>
      </c>
      <c r="C706">
        <v>2004</v>
      </c>
      <c r="D706" t="s">
        <v>3674</v>
      </c>
      <c r="E706" t="s">
        <v>3675</v>
      </c>
      <c r="F706" t="s">
        <v>3676</v>
      </c>
      <c r="G706" t="s">
        <v>3677</v>
      </c>
      <c r="H706" t="s">
        <v>99</v>
      </c>
      <c r="I706" t="s">
        <v>99</v>
      </c>
      <c r="J706" t="s">
        <v>3678</v>
      </c>
      <c r="K706" t="s">
        <v>1180</v>
      </c>
      <c r="L706" s="13">
        <v>44887.363807870373</v>
      </c>
      <c r="M706" s="13">
        <v>44887.363807870373</v>
      </c>
      <c r="N706" s="13">
        <v>44886.598356481481</v>
      </c>
      <c r="O706" t="s">
        <v>3679</v>
      </c>
      <c r="P706" t="s">
        <v>99</v>
      </c>
      <c r="Q706" t="s">
        <v>5962</v>
      </c>
      <c r="R706" t="s">
        <v>99</v>
      </c>
      <c r="S706" t="s">
        <v>99</v>
      </c>
      <c r="T706" t="s">
        <v>1218</v>
      </c>
      <c r="U706" t="s">
        <v>133</v>
      </c>
      <c r="V706" t="s">
        <v>99</v>
      </c>
      <c r="W706" t="s">
        <v>4496</v>
      </c>
      <c r="X706" t="s">
        <v>3680</v>
      </c>
      <c r="Y706" t="s">
        <v>5963</v>
      </c>
      <c r="Z706" t="s">
        <v>5964</v>
      </c>
    </row>
    <row r="707" spans="1:26">
      <c r="A707" t="s">
        <v>5965</v>
      </c>
      <c r="B707" t="s">
        <v>135</v>
      </c>
      <c r="C707">
        <v>2019</v>
      </c>
      <c r="D707" t="s">
        <v>3669</v>
      </c>
      <c r="E707" t="s">
        <v>3670</v>
      </c>
      <c r="F707" t="s">
        <v>2564</v>
      </c>
      <c r="G707" t="s">
        <v>99</v>
      </c>
      <c r="H707" t="s">
        <v>2565</v>
      </c>
      <c r="I707" t="s">
        <v>3671</v>
      </c>
      <c r="J707" t="s">
        <v>3672</v>
      </c>
      <c r="K707" t="s">
        <v>1610</v>
      </c>
      <c r="L707" s="13">
        <v>44887.363807870373</v>
      </c>
      <c r="M707" s="13">
        <v>44887.363807870373</v>
      </c>
      <c r="N707" s="13">
        <v>44886.598344907405</v>
      </c>
      <c r="O707" t="s">
        <v>3673</v>
      </c>
      <c r="P707" t="s">
        <v>182</v>
      </c>
      <c r="Q707" t="s">
        <v>5966</v>
      </c>
      <c r="R707" t="s">
        <v>4670</v>
      </c>
      <c r="S707" t="s">
        <v>99</v>
      </c>
      <c r="T707" t="s">
        <v>99</v>
      </c>
      <c r="U707" t="s">
        <v>99</v>
      </c>
      <c r="V707" t="s">
        <v>4495</v>
      </c>
      <c r="W707" t="s">
        <v>4496</v>
      </c>
      <c r="X707" t="s">
        <v>99</v>
      </c>
      <c r="Y707" t="s">
        <v>99</v>
      </c>
      <c r="Z707" t="s">
        <v>99</v>
      </c>
    </row>
    <row r="708" spans="1:26">
      <c r="A708" t="s">
        <v>5967</v>
      </c>
      <c r="B708" t="s">
        <v>222</v>
      </c>
      <c r="C708">
        <v>1999</v>
      </c>
      <c r="D708" t="s">
        <v>3646</v>
      </c>
      <c r="E708" t="s">
        <v>3647</v>
      </c>
      <c r="F708" t="s">
        <v>3648</v>
      </c>
      <c r="G708" t="s">
        <v>3649</v>
      </c>
      <c r="H708" t="s">
        <v>99</v>
      </c>
      <c r="I708" t="s">
        <v>99</v>
      </c>
      <c r="J708" t="s">
        <v>3650</v>
      </c>
      <c r="K708" t="s">
        <v>3651</v>
      </c>
      <c r="L708" s="13">
        <v>44887.363807870373</v>
      </c>
      <c r="M708" s="13">
        <v>44887.363807870373</v>
      </c>
      <c r="N708" s="13">
        <v>44886.598344907405</v>
      </c>
      <c r="O708" t="s">
        <v>3652</v>
      </c>
      <c r="P708" t="s">
        <v>99</v>
      </c>
      <c r="Q708" t="s">
        <v>5458</v>
      </c>
      <c r="R708" t="s">
        <v>99</v>
      </c>
      <c r="S708" t="s">
        <v>99</v>
      </c>
      <c r="T708" t="s">
        <v>2728</v>
      </c>
      <c r="U708" t="s">
        <v>2729</v>
      </c>
      <c r="V708" t="s">
        <v>4495</v>
      </c>
      <c r="W708" t="s">
        <v>4496</v>
      </c>
      <c r="X708" t="s">
        <v>3653</v>
      </c>
      <c r="Y708" t="s">
        <v>99</v>
      </c>
      <c r="Z708" t="s">
        <v>99</v>
      </c>
    </row>
    <row r="709" spans="1:26">
      <c r="A709" t="s">
        <v>5968</v>
      </c>
      <c r="B709" t="s">
        <v>222</v>
      </c>
      <c r="C709">
        <v>2021</v>
      </c>
      <c r="D709" t="s">
        <v>3639</v>
      </c>
      <c r="E709" t="s">
        <v>3640</v>
      </c>
      <c r="F709" t="s">
        <v>3641</v>
      </c>
      <c r="G709" t="s">
        <v>3642</v>
      </c>
      <c r="H709" t="s">
        <v>99</v>
      </c>
      <c r="I709" t="s">
        <v>99</v>
      </c>
      <c r="J709" t="s">
        <v>3643</v>
      </c>
      <c r="K709" t="s">
        <v>113</v>
      </c>
      <c r="L709" s="13">
        <v>44887.363807870373</v>
      </c>
      <c r="M709" s="13">
        <v>44887.363807870373</v>
      </c>
      <c r="N709" s="13">
        <v>44886.598344907405</v>
      </c>
      <c r="O709" t="s">
        <v>3644</v>
      </c>
      <c r="P709" t="s">
        <v>99</v>
      </c>
      <c r="Q709" t="s">
        <v>5969</v>
      </c>
      <c r="R709" t="s">
        <v>99</v>
      </c>
      <c r="S709" t="s">
        <v>99</v>
      </c>
      <c r="T709" t="s">
        <v>1362</v>
      </c>
      <c r="U709" t="s">
        <v>1363</v>
      </c>
      <c r="V709" t="s">
        <v>4495</v>
      </c>
      <c r="W709" t="s">
        <v>4496</v>
      </c>
      <c r="X709" t="s">
        <v>3645</v>
      </c>
      <c r="Y709" t="s">
        <v>5970</v>
      </c>
      <c r="Z709" t="s">
        <v>99</v>
      </c>
    </row>
    <row r="710" spans="1:26">
      <c r="A710" t="s">
        <v>5971</v>
      </c>
      <c r="B710" t="s">
        <v>222</v>
      </c>
      <c r="C710">
        <v>2014</v>
      </c>
      <c r="D710" t="s">
        <v>3625</v>
      </c>
      <c r="E710" t="s">
        <v>3626</v>
      </c>
      <c r="F710" t="s">
        <v>3627</v>
      </c>
      <c r="G710" t="s">
        <v>3628</v>
      </c>
      <c r="H710" t="s">
        <v>99</v>
      </c>
      <c r="I710" t="s">
        <v>99</v>
      </c>
      <c r="J710" t="s">
        <v>3629</v>
      </c>
      <c r="K710" t="s">
        <v>400</v>
      </c>
      <c r="L710" s="13">
        <v>44887.363807870373</v>
      </c>
      <c r="M710" s="13">
        <v>44887.363807870373</v>
      </c>
      <c r="N710" s="13">
        <v>44886.598333333335</v>
      </c>
      <c r="O710" t="s">
        <v>3630</v>
      </c>
      <c r="P710" t="s">
        <v>99</v>
      </c>
      <c r="Q710" t="s">
        <v>5972</v>
      </c>
      <c r="R710" t="s">
        <v>99</v>
      </c>
      <c r="S710" t="s">
        <v>99</v>
      </c>
      <c r="T710" t="s">
        <v>1226</v>
      </c>
      <c r="U710" t="s">
        <v>1227</v>
      </c>
      <c r="V710" t="s">
        <v>4495</v>
      </c>
      <c r="W710" t="s">
        <v>4496</v>
      </c>
      <c r="X710" t="s">
        <v>3631</v>
      </c>
      <c r="Y710" t="s">
        <v>5973</v>
      </c>
      <c r="Z710" t="s">
        <v>5974</v>
      </c>
    </row>
    <row r="711" spans="1:26">
      <c r="A711" t="s">
        <v>5975</v>
      </c>
      <c r="B711" t="s">
        <v>222</v>
      </c>
      <c r="C711">
        <v>2000</v>
      </c>
      <c r="D711" t="s">
        <v>99</v>
      </c>
      <c r="E711" t="s">
        <v>3592</v>
      </c>
      <c r="F711" t="s">
        <v>3593</v>
      </c>
      <c r="G711" t="s">
        <v>3594</v>
      </c>
      <c r="H711" t="s">
        <v>99</v>
      </c>
      <c r="I711" t="s">
        <v>99</v>
      </c>
      <c r="J711" t="s">
        <v>3595</v>
      </c>
      <c r="K711" t="s">
        <v>1801</v>
      </c>
      <c r="L711" s="13">
        <v>44887.363807870373</v>
      </c>
      <c r="M711" s="13">
        <v>44887.363807870373</v>
      </c>
      <c r="N711" s="13">
        <v>44886.598321759258</v>
      </c>
      <c r="O711" t="s">
        <v>3596</v>
      </c>
      <c r="P711" t="s">
        <v>99</v>
      </c>
      <c r="Q711" t="s">
        <v>5976</v>
      </c>
      <c r="R711" t="s">
        <v>99</v>
      </c>
      <c r="S711" t="s">
        <v>99</v>
      </c>
      <c r="T711" t="s">
        <v>1218</v>
      </c>
      <c r="U711" t="s">
        <v>133</v>
      </c>
      <c r="V711" t="s">
        <v>99</v>
      </c>
      <c r="W711" t="s">
        <v>4496</v>
      </c>
      <c r="X711" t="s">
        <v>3597</v>
      </c>
      <c r="Y711" t="s">
        <v>99</v>
      </c>
      <c r="Z711" t="s">
        <v>5283</v>
      </c>
    </row>
    <row r="712" spans="1:26">
      <c r="A712" t="s">
        <v>5977</v>
      </c>
      <c r="B712" t="s">
        <v>222</v>
      </c>
      <c r="C712">
        <v>2019</v>
      </c>
      <c r="D712" t="s">
        <v>3632</v>
      </c>
      <c r="E712" t="s">
        <v>3633</v>
      </c>
      <c r="F712" t="s">
        <v>3634</v>
      </c>
      <c r="G712" t="s">
        <v>3635</v>
      </c>
      <c r="H712" t="s">
        <v>99</v>
      </c>
      <c r="I712" t="s">
        <v>99</v>
      </c>
      <c r="J712" t="s">
        <v>3636</v>
      </c>
      <c r="K712" t="s">
        <v>271</v>
      </c>
      <c r="L712" s="13">
        <v>44887.363807870373</v>
      </c>
      <c r="M712" s="13">
        <v>44887.363807870373</v>
      </c>
      <c r="N712" s="13">
        <v>44886.598333333335</v>
      </c>
      <c r="O712" t="s">
        <v>3637</v>
      </c>
      <c r="P712" t="s">
        <v>99</v>
      </c>
      <c r="Q712" t="s">
        <v>5978</v>
      </c>
      <c r="R712" t="s">
        <v>99</v>
      </c>
      <c r="S712" t="s">
        <v>99</v>
      </c>
      <c r="T712" t="s">
        <v>1226</v>
      </c>
      <c r="U712" t="s">
        <v>1227</v>
      </c>
      <c r="V712" t="s">
        <v>99</v>
      </c>
      <c r="W712" t="s">
        <v>4496</v>
      </c>
      <c r="X712" t="s">
        <v>3638</v>
      </c>
      <c r="Y712" t="s">
        <v>5570</v>
      </c>
      <c r="Z712" t="s">
        <v>99</v>
      </c>
    </row>
  </sheetData>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136EC-BEFA-438B-829C-015FD7EBAB18}">
  <dimension ref="A1:W92"/>
  <sheetViews>
    <sheetView workbookViewId="0">
      <selection activeCell="X1" sqref="X1:X1048576"/>
    </sheetView>
    <sheetView workbookViewId="1"/>
  </sheetViews>
  <sheetFormatPr baseColWidth="10" defaultRowHeight="14.5"/>
  <cols>
    <col min="2" max="2" width="12" customWidth="1"/>
    <col min="3" max="3" width="17.453125" customWidth="1"/>
    <col min="6" max="6" width="17.54296875" customWidth="1"/>
    <col min="11" max="11" width="15.26953125" customWidth="1"/>
    <col min="13" max="13" width="13.54296875" style="17" customWidth="1"/>
    <col min="14" max="14" width="15.81640625" style="17" customWidth="1"/>
    <col min="15" max="15" width="13.54296875" customWidth="1"/>
    <col min="17" max="17" width="13" customWidth="1"/>
    <col min="21" max="21" width="11.54296875" customWidth="1"/>
  </cols>
  <sheetData>
    <row r="1" spans="1:23">
      <c r="A1" t="s">
        <v>72</v>
      </c>
      <c r="B1" t="s">
        <v>73</v>
      </c>
      <c r="C1" t="s">
        <v>74</v>
      </c>
      <c r="D1" t="s">
        <v>75</v>
      </c>
      <c r="E1" t="s">
        <v>76</v>
      </c>
      <c r="F1" t="s">
        <v>77</v>
      </c>
      <c r="G1" t="s">
        <v>78</v>
      </c>
      <c r="H1" t="s">
        <v>79</v>
      </c>
      <c r="I1" t="s">
        <v>80</v>
      </c>
      <c r="J1" t="s">
        <v>81</v>
      </c>
      <c r="K1" t="s">
        <v>82</v>
      </c>
      <c r="L1" t="s">
        <v>83</v>
      </c>
      <c r="M1" s="17" t="s">
        <v>84</v>
      </c>
      <c r="N1" s="17" t="s">
        <v>85</v>
      </c>
      <c r="O1" t="s">
        <v>86</v>
      </c>
      <c r="P1" t="s">
        <v>87</v>
      </c>
      <c r="Q1" t="s">
        <v>88</v>
      </c>
      <c r="R1" t="s">
        <v>2</v>
      </c>
      <c r="S1" t="s">
        <v>89</v>
      </c>
      <c r="T1" t="s">
        <v>90</v>
      </c>
      <c r="U1" t="s">
        <v>91</v>
      </c>
      <c r="V1" t="s">
        <v>92</v>
      </c>
      <c r="W1" t="s">
        <v>93</v>
      </c>
    </row>
    <row r="2" spans="1:23">
      <c r="A2" t="s">
        <v>5661</v>
      </c>
      <c r="B2" t="str">
        <f>VLOOKUP(Tabelle4[[#This Row],[Key]],'3. Unique Results'!A:X,2,FALSE)</f>
        <v>conferencePaper</v>
      </c>
      <c r="C2">
        <f>VLOOKUP(Tabelle4[[#This Row],[Key]],'3. Unique Results'!A:X,3,FALSE)</f>
        <v>2022</v>
      </c>
      <c r="D2" t="str">
        <f>VLOOKUP(Tabelle4[[#This Row],[Key]],'3. Unique Results'!A:X,4,FALSE)</f>
        <v>d'Aloisio, Giordano</v>
      </c>
      <c r="E2" t="str">
        <f>VLOOKUP(Tabelle4[[#This Row],[Key]],'3. Unique Results'!A:X,5,FALSE)</f>
        <v>Quality-Driven Machine Learning-Based Data Science Pipeline Realization: A Software Engineering Approach</v>
      </c>
      <c r="F2" t="str">
        <f>VLOOKUP(Tabelle4[[#This Row],[Key]],'3. Unique Results'!A:X,6,FALSE)</f>
        <v>Proceedings of the ACM/IEEE 44th International Conference on Software Engineering: Companion Proceedings</v>
      </c>
      <c r="G2" t="str">
        <f>VLOOKUP(Tabelle4[[#This Row],[Key]],'3. Unique Results'!A:X,7,FALSE)</f>
        <v>978-1-4503-9223-5</v>
      </c>
      <c r="H2" t="str">
        <f>VLOOKUP(Tabelle4[[#This Row],[Key]],'3. Unique Results'!A:X,8,FALSE)</f>
        <v/>
      </c>
      <c r="I2" t="str">
        <f>VLOOKUP(Tabelle4[[#This Row],[Key]],'3. Unique Results'!A:X,9,FALSE)</f>
        <v>10.1145/3510454.3517067</v>
      </c>
      <c r="J2" t="str">
        <f>VLOOKUP(Tabelle4[[#This Row],[Key]],'3. Unique Results'!A:X,10,FALSE)</f>
        <v>https://doi.org/10.1145/3510454.3517067</v>
      </c>
      <c r="K2" t="str">
        <f>VLOOKUP(Tabelle4[[#This Row],[Key]],'3. Unique Results'!A:X,11,FALSE)</f>
        <v>2022</v>
      </c>
      <c r="L2">
        <f>VLOOKUP(Tabelle4[[#This Row],[Key]],'3. Unique Results'!A:X,12,FALSE)</f>
        <v>44887.363807870373</v>
      </c>
      <c r="M2" s="17">
        <f>VLOOKUP(Tabelle4[[#This Row],[Key]],'3. Unique Results'!A:X,13,FALSE)</f>
        <v>44887.412187499998</v>
      </c>
      <c r="N2" s="17">
        <f>VLOOKUP(Tabelle4[[#This Row],[Key]],'3. Unique Results'!A:X,14,FALSE)</f>
        <v>0</v>
      </c>
      <c r="O2" t="str">
        <f>VLOOKUP(Tabelle4[[#This Row],[Key]],'3. Unique Results'!A:X,15,FALSE)</f>
        <v>291–293</v>
      </c>
      <c r="P2" t="str">
        <f>VLOOKUP(Tabelle4[[#This Row],[Key]],'3. Unique Results'!A:X,16,FALSE)</f>
        <v/>
      </c>
      <c r="Q2" t="str">
        <f>VLOOKUP(Tabelle4[[#This Row],[Key]],'3. Unique Results'!A:X,17,FALSE)</f>
        <v/>
      </c>
      <c r="R2" t="str">
        <f>VLOOKUP(Tabelle4[[#This Row],[Key]],'3. Unique Results'!A:X,18,FALSE)</f>
        <v/>
      </c>
      <c r="S2" t="str">
        <f>VLOOKUP(Tabelle4[[#This Row],[Key]],'3. Unique Results'!A:X,19,FALSE)</f>
        <v/>
      </c>
      <c r="T2" t="str">
        <f>VLOOKUP(Tabelle4[[#This Row],[Key]],'3. Unique Results'!A:X,20,FALSE)</f>
        <v>Association for Computing Machinery</v>
      </c>
      <c r="U2" t="str">
        <f>VLOOKUP(Tabelle4[[#This Row],[Key]],'3. Unique Results'!A:X,21,FALSE)</f>
        <v>New York, NY, USA</v>
      </c>
      <c r="V2" t="str">
        <f>VLOOKUP(Tabelle4[[#This Row],[Key]],'3. Unique Results'!A:X,22,FALSE)</f>
        <v/>
      </c>
      <c r="W2" t="str">
        <f>VLOOKUP(Tabelle4[[#This Row],[Key]],'3. Unique Results'!A:X,23,FALSE)</f>
        <v/>
      </c>
    </row>
    <row r="3" spans="1:23">
      <c r="A3" t="s">
        <v>4433</v>
      </c>
      <c r="B3" t="str">
        <f>VLOOKUP(Tabelle4[[#This Row],[Key]],'3. Unique Results'!A:X,2,FALSE)</f>
        <v>conferencePaper</v>
      </c>
      <c r="C3">
        <f>VLOOKUP(Tabelle4[[#This Row],[Key]],'3. Unique Results'!A:X,3,FALSE)</f>
        <v>2017</v>
      </c>
      <c r="D3" t="str">
        <f>VLOOKUP(Tabelle4[[#This Row],[Key]],'3. Unique Results'!A:X,4,FALSE)</f>
        <v>Dethlefs, Nina; Hawick, Ken</v>
      </c>
      <c r="E3" t="str">
        <f>VLOOKUP(Tabelle4[[#This Row],[Key]],'3. Unique Results'!A:X,5,FALSE)</f>
        <v>DEFIne: A Fluent Interface DSL for Deep Learning Applications</v>
      </c>
      <c r="F3" t="str">
        <f>VLOOKUP(Tabelle4[[#This Row],[Key]],'3. Unique Results'!A:X,6,FALSE)</f>
        <v>Proceedings of the 2nd International Workshop on Real World Domain Specific Languages</v>
      </c>
      <c r="G3" t="str">
        <f>VLOOKUP(Tabelle4[[#This Row],[Key]],'3. Unique Results'!A:X,7,FALSE)</f>
        <v>978-1-4503-4845-4</v>
      </c>
      <c r="H3" t="str">
        <f>VLOOKUP(Tabelle4[[#This Row],[Key]],'3. Unique Results'!A:X,8,FALSE)</f>
        <v/>
      </c>
      <c r="I3" t="str">
        <f>VLOOKUP(Tabelle4[[#This Row],[Key]],'3. Unique Results'!A:X,9,FALSE)</f>
        <v>10.1145/3039895.3039898</v>
      </c>
      <c r="J3" t="str">
        <f>VLOOKUP(Tabelle4[[#This Row],[Key]],'3. Unique Results'!A:X,10,FALSE)</f>
        <v>https://doi.org/10.1145/3039895.3039898</v>
      </c>
      <c r="K3" t="str">
        <f>VLOOKUP(Tabelle4[[#This Row],[Key]],'3. Unique Results'!A:X,11,FALSE)</f>
        <v>2017</v>
      </c>
      <c r="L3">
        <f>VLOOKUP(Tabelle4[[#This Row],[Key]],'3. Unique Results'!A:X,12,FALSE)</f>
        <v>44887.363807870373</v>
      </c>
      <c r="M3" s="17">
        <f>VLOOKUP(Tabelle4[[#This Row],[Key]],'3. Unique Results'!A:X,13,FALSE)</f>
        <v>44887.411307870374</v>
      </c>
      <c r="N3" s="17">
        <f>VLOOKUP(Tabelle4[[#This Row],[Key]],'3. Unique Results'!A:X,14,FALSE)</f>
        <v>0</v>
      </c>
      <c r="O3" t="str">
        <f>VLOOKUP(Tabelle4[[#This Row],[Key]],'3. Unique Results'!A:X,15,FALSE)</f>
        <v/>
      </c>
      <c r="P3" t="str">
        <f>VLOOKUP(Tabelle4[[#This Row],[Key]],'3. Unique Results'!A:X,16,FALSE)</f>
        <v/>
      </c>
      <c r="Q3" t="str">
        <f>VLOOKUP(Tabelle4[[#This Row],[Key]],'3. Unique Results'!A:X,17,FALSE)</f>
        <v/>
      </c>
      <c r="R3" t="str">
        <f>VLOOKUP(Tabelle4[[#This Row],[Key]],'3. Unique Results'!A:X,18,FALSE)</f>
        <v/>
      </c>
      <c r="S3" t="str">
        <f>VLOOKUP(Tabelle4[[#This Row],[Key]],'3. Unique Results'!A:X,19,FALSE)</f>
        <v/>
      </c>
      <c r="T3" t="str">
        <f>VLOOKUP(Tabelle4[[#This Row],[Key]],'3. Unique Results'!A:X,20,FALSE)</f>
        <v>Association for Computing Machinery</v>
      </c>
      <c r="U3" t="str">
        <f>VLOOKUP(Tabelle4[[#This Row],[Key]],'3. Unique Results'!A:X,21,FALSE)</f>
        <v>New York, NY, USA</v>
      </c>
      <c r="V3" t="str">
        <f>VLOOKUP(Tabelle4[[#This Row],[Key]],'3. Unique Results'!A:X,22,FALSE)</f>
        <v/>
      </c>
      <c r="W3" t="str">
        <f>VLOOKUP(Tabelle4[[#This Row],[Key]],'3. Unique Results'!A:X,23,FALSE)</f>
        <v/>
      </c>
    </row>
    <row r="4" spans="1:23">
      <c r="A4" t="s">
        <v>4434</v>
      </c>
      <c r="B4" t="str">
        <f>VLOOKUP(Tabelle4[[#This Row],[Key]],'3. Unique Results'!A:X,2,FALSE)</f>
        <v>conferencePaper</v>
      </c>
      <c r="C4">
        <f>VLOOKUP(Tabelle4[[#This Row],[Key]],'3. Unique Results'!A:X,3,FALSE)</f>
        <v>2021</v>
      </c>
      <c r="D4" t="str">
        <f>VLOOKUP(Tabelle4[[#This Row],[Key]],'3. Unique Results'!A:X,4,FALSE)</f>
        <v>Ries, Benoît; Guelfi, Nicolas; Jahic, Benjamin</v>
      </c>
      <c r="E4" t="str">
        <f>VLOOKUP(Tabelle4[[#This Row],[Key]],'3. Unique Results'!A:X,5,FALSE)</f>
        <v>An MDE Method for Improving Deep Learning Dataset Requirements Engineering using Alloy and UML</v>
      </c>
      <c r="F4" t="str">
        <f>VLOOKUP(Tabelle4[[#This Row],[Key]],'3. Unique Results'!A:X,6,FALSE)</f>
        <v>Proceedings of the 9th International Conference on Model-Driven Engineering and Software Development, MODELSWARD 2021, Online Streaming, February 8-10, 2021</v>
      </c>
      <c r="G4" t="str">
        <f>VLOOKUP(Tabelle4[[#This Row],[Key]],'3. Unique Results'!A:X,7,FALSE)</f>
        <v/>
      </c>
      <c r="H4" t="str">
        <f>VLOOKUP(Tabelle4[[#This Row],[Key]],'3. Unique Results'!A:X,8,FALSE)</f>
        <v/>
      </c>
      <c r="I4" t="str">
        <f>VLOOKUP(Tabelle4[[#This Row],[Key]],'3. Unique Results'!A:X,9,FALSE)</f>
        <v>10.5220/0010216600410052</v>
      </c>
      <c r="J4" t="str">
        <f>VLOOKUP(Tabelle4[[#This Row],[Key]],'3. Unique Results'!A:X,10,FALSE)</f>
        <v>https://doi.org/10.5220/0010216600410052</v>
      </c>
      <c r="K4" t="str">
        <f>VLOOKUP(Tabelle4[[#This Row],[Key]],'3. Unique Results'!A:X,11,FALSE)</f>
        <v>2021</v>
      </c>
      <c r="L4">
        <f>VLOOKUP(Tabelle4[[#This Row],[Key]],'3. Unique Results'!A:X,12,FALSE)</f>
        <v>44887.363807870373</v>
      </c>
      <c r="M4" s="17">
        <f>VLOOKUP(Tabelle4[[#This Row],[Key]],'3. Unique Results'!A:X,13,FALSE)</f>
        <v>44887.363807870373</v>
      </c>
      <c r="N4" s="17">
        <f>VLOOKUP(Tabelle4[[#This Row],[Key]],'3. Unique Results'!A:X,14,FALSE)</f>
        <v>0</v>
      </c>
      <c r="O4" t="str">
        <f>VLOOKUP(Tabelle4[[#This Row],[Key]],'3. Unique Results'!A:X,15,FALSE)</f>
        <v>41–52</v>
      </c>
      <c r="P4" t="str">
        <f>VLOOKUP(Tabelle4[[#This Row],[Key]],'3. Unique Results'!A:X,16,FALSE)</f>
        <v/>
      </c>
      <c r="Q4" t="str">
        <f>VLOOKUP(Tabelle4[[#This Row],[Key]],'3. Unique Results'!A:X,17,FALSE)</f>
        <v/>
      </c>
      <c r="R4" t="str">
        <f>VLOOKUP(Tabelle4[[#This Row],[Key]],'3. Unique Results'!A:X,18,FALSE)</f>
        <v/>
      </c>
      <c r="S4" t="str">
        <f>VLOOKUP(Tabelle4[[#This Row],[Key]],'3. Unique Results'!A:X,19,FALSE)</f>
        <v/>
      </c>
      <c r="T4" t="str">
        <f>VLOOKUP(Tabelle4[[#This Row],[Key]],'3. Unique Results'!A:X,20,FALSE)</f>
        <v>SCITEPRESS</v>
      </c>
      <c r="U4" t="str">
        <f>VLOOKUP(Tabelle4[[#This Row],[Key]],'3. Unique Results'!A:X,21,FALSE)</f>
        <v/>
      </c>
      <c r="V4" t="str">
        <f>VLOOKUP(Tabelle4[[#This Row],[Key]],'3. Unique Results'!A:X,22,FALSE)</f>
        <v/>
      </c>
      <c r="W4" t="str">
        <f>VLOOKUP(Tabelle4[[#This Row],[Key]],'3. Unique Results'!A:X,23,FALSE)</f>
        <v/>
      </c>
    </row>
    <row r="5" spans="1:23">
      <c r="A5" t="s">
        <v>5781</v>
      </c>
      <c r="B5" t="str">
        <f>VLOOKUP(Tabelle4[[#This Row],[Key]],'3. Unique Results'!A:X,2,FALSE)</f>
        <v>book</v>
      </c>
      <c r="C5">
        <f>VLOOKUP(Tabelle4[[#This Row],[Key]],'3. Unique Results'!A:X,3,FALSE)</f>
        <v>2009</v>
      </c>
      <c r="D5" t="str">
        <f>VLOOKUP(Tabelle4[[#This Row],[Key]],'3. Unique Results'!A:X,4,FALSE)</f>
        <v>Calleja, A.; Pace, G. J.</v>
      </c>
      <c r="E5" t="str">
        <f>VLOOKUP(Tabelle4[[#This Row],[Key]],'3. Unique Results'!A:X,5,FALSE)</f>
        <v>A domain-specific embedded language approach for the scripting of game artificial intelligence</v>
      </c>
      <c r="F5" t="str">
        <f>VLOOKUP(Tabelle4[[#This Row],[Key]],'3. Unique Results'!A:X,6,FALSE)</f>
        <v/>
      </c>
      <c r="G5" t="str">
        <f>VLOOKUP(Tabelle4[[#This Row],[Key]],'3. Unique Results'!A:X,7,FALSE)</f>
        <v/>
      </c>
      <c r="H5" t="str">
        <f>VLOOKUP(Tabelle4[[#This Row],[Key]],'3. Unique Results'!A:X,8,FALSE)</f>
        <v/>
      </c>
      <c r="I5" t="str">
        <f>VLOOKUP(Tabelle4[[#This Row],[Key]],'3. Unique Results'!A:X,9,FALSE)</f>
        <v/>
      </c>
      <c r="J5" t="str">
        <f>VLOOKUP(Tabelle4[[#This Row],[Key]],'3. Unique Results'!A:X,10,FALSE)</f>
        <v>https://www.um.edu.mt/library/oar/handle/123456789/27604</v>
      </c>
      <c r="K5" t="str">
        <f>VLOOKUP(Tabelle4[[#This Row],[Key]],'3. Unique Results'!A:X,11,FALSE)</f>
        <v>2009</v>
      </c>
      <c r="L5">
        <f>VLOOKUP(Tabelle4[[#This Row],[Key]],'3. Unique Results'!A:X,12,FALSE)</f>
        <v>44887.363807870373</v>
      </c>
      <c r="M5" s="17">
        <f>VLOOKUP(Tabelle4[[#This Row],[Key]],'3. Unique Results'!A:X,13,FALSE)</f>
        <v>44887.363807870373</v>
      </c>
      <c r="N5" s="17">
        <f>VLOOKUP(Tabelle4[[#This Row],[Key]],'3. Unique Results'!A:X,14,FALSE)</f>
        <v>0</v>
      </c>
      <c r="O5" t="str">
        <f>VLOOKUP(Tabelle4[[#This Row],[Key]],'3. Unique Results'!A:X,15,FALSE)</f>
        <v/>
      </c>
      <c r="P5" t="str">
        <f>VLOOKUP(Tabelle4[[#This Row],[Key]],'3. Unique Results'!A:X,16,FALSE)</f>
        <v/>
      </c>
      <c r="Q5" t="str">
        <f>VLOOKUP(Tabelle4[[#This Row],[Key]],'3. Unique Results'!A:X,17,FALSE)</f>
        <v/>
      </c>
      <c r="R5" t="str">
        <f>VLOOKUP(Tabelle4[[#This Row],[Key]],'3. Unique Results'!A:X,18,FALSE)</f>
        <v/>
      </c>
      <c r="S5" t="str">
        <f>VLOOKUP(Tabelle4[[#This Row],[Key]],'3. Unique Results'!A:X,19,FALSE)</f>
        <v/>
      </c>
      <c r="T5" t="str">
        <f>VLOOKUP(Tabelle4[[#This Row],[Key]],'3. Unique Results'!A:X,20,FALSE)</f>
        <v>um.edu.mt</v>
      </c>
      <c r="U5" t="str">
        <f>VLOOKUP(Tabelle4[[#This Row],[Key]],'3. Unique Results'!A:X,21,FALSE)</f>
        <v/>
      </c>
      <c r="V5" t="str">
        <f>VLOOKUP(Tabelle4[[#This Row],[Key]],'3. Unique Results'!A:X,22,FALSE)</f>
        <v/>
      </c>
      <c r="W5" t="str">
        <f>VLOOKUP(Tabelle4[[#This Row],[Key]],'3. Unique Results'!A:X,23,FALSE)</f>
        <v/>
      </c>
    </row>
    <row r="6" spans="1:23">
      <c r="A6" t="s">
        <v>5782</v>
      </c>
      <c r="B6" t="str">
        <f>VLOOKUP(Tabelle4[[#This Row],[Key]],'3. Unique Results'!A:X,2,FALSE)</f>
        <v>journalArticle</v>
      </c>
      <c r="C6">
        <f>VLOOKUP(Tabelle4[[#This Row],[Key]],'3. Unique Results'!A:X,3,FALSE)</f>
        <v>2018</v>
      </c>
      <c r="D6" t="str">
        <f>VLOOKUP(Tabelle4[[#This Row],[Key]],'3. Unique Results'!A:X,4,FALSE)</f>
        <v>Ghiasi, Ramin; Ghasemi, Mohammad Reza; Noori, Mohammad N.</v>
      </c>
      <c r="E6" t="str">
        <f>VLOOKUP(Tabelle4[[#This Row],[Key]],'3. Unique Results'!A:X,5,FALSE)</f>
        <v>Comparative studies of metamodeling and AI-Based techniques in damage detection of structures</v>
      </c>
      <c r="F6" t="str">
        <f>VLOOKUP(Tabelle4[[#This Row],[Key]],'3. Unique Results'!A:X,6,FALSE)</f>
        <v>Adv. Eng. Softw.</v>
      </c>
      <c r="G6" t="str">
        <f>VLOOKUP(Tabelle4[[#This Row],[Key]],'3. Unique Results'!A:X,7,FALSE)</f>
        <v/>
      </c>
      <c r="H6" t="str">
        <f>VLOOKUP(Tabelle4[[#This Row],[Key]],'3. Unique Results'!A:X,8,FALSE)</f>
        <v/>
      </c>
      <c r="I6" t="str">
        <f>VLOOKUP(Tabelle4[[#This Row],[Key]],'3. Unique Results'!A:X,9,FALSE)</f>
        <v>10.1016/j.advengsoft.2018.02.006</v>
      </c>
      <c r="J6" t="str">
        <f>VLOOKUP(Tabelle4[[#This Row],[Key]],'3. Unique Results'!A:X,10,FALSE)</f>
        <v>https://doi.org/10.1016/j.advengsoft.2018.02.006</v>
      </c>
      <c r="K6" t="str">
        <f>VLOOKUP(Tabelle4[[#This Row],[Key]],'3. Unique Results'!A:X,11,FALSE)</f>
        <v>2018</v>
      </c>
      <c r="L6">
        <f>VLOOKUP(Tabelle4[[#This Row],[Key]],'3. Unique Results'!A:X,12,FALSE)</f>
        <v>44887.363807870373</v>
      </c>
      <c r="M6" s="17">
        <f>VLOOKUP(Tabelle4[[#This Row],[Key]],'3. Unique Results'!A:X,13,FALSE)</f>
        <v>44887.363807870373</v>
      </c>
      <c r="N6" s="17">
        <f>VLOOKUP(Tabelle4[[#This Row],[Key]],'3. Unique Results'!A:X,14,FALSE)</f>
        <v>0</v>
      </c>
      <c r="O6" t="str">
        <f>VLOOKUP(Tabelle4[[#This Row],[Key]],'3. Unique Results'!A:X,15,FALSE)</f>
        <v>101–112</v>
      </c>
      <c r="P6" t="str">
        <f>VLOOKUP(Tabelle4[[#This Row],[Key]],'3. Unique Results'!A:X,16,FALSE)</f>
        <v/>
      </c>
      <c r="Q6" t="str">
        <f>VLOOKUP(Tabelle4[[#This Row],[Key]],'3. Unique Results'!A:X,17,FALSE)</f>
        <v>125</v>
      </c>
      <c r="R6" t="str">
        <f>VLOOKUP(Tabelle4[[#This Row],[Key]],'3. Unique Results'!A:X,18,FALSE)</f>
        <v/>
      </c>
      <c r="S6" t="str">
        <f>VLOOKUP(Tabelle4[[#This Row],[Key]],'3. Unique Results'!A:X,19,FALSE)</f>
        <v/>
      </c>
      <c r="T6" t="str">
        <f>VLOOKUP(Tabelle4[[#This Row],[Key]],'3. Unique Results'!A:X,20,FALSE)</f>
        <v/>
      </c>
      <c r="U6" t="str">
        <f>VLOOKUP(Tabelle4[[#This Row],[Key]],'3. Unique Results'!A:X,21,FALSE)</f>
        <v/>
      </c>
      <c r="V6" t="str">
        <f>VLOOKUP(Tabelle4[[#This Row],[Key]],'3. Unique Results'!A:X,22,FALSE)</f>
        <v/>
      </c>
      <c r="W6" t="str">
        <f>VLOOKUP(Tabelle4[[#This Row],[Key]],'3. Unique Results'!A:X,23,FALSE)</f>
        <v/>
      </c>
    </row>
    <row r="7" spans="1:23">
      <c r="A7" t="s">
        <v>4435</v>
      </c>
      <c r="B7" t="str">
        <f>VLOOKUP(Tabelle4[[#This Row],[Key]],'3. Unique Results'!A:X,2,FALSE)</f>
        <v>conferencePaper</v>
      </c>
      <c r="C7">
        <f>VLOOKUP(Tabelle4[[#This Row],[Key]],'3. Unique Results'!A:X,3,FALSE)</f>
        <v>2017</v>
      </c>
      <c r="D7" t="str">
        <f>VLOOKUP(Tabelle4[[#This Row],[Key]],'3. Unique Results'!A:X,4,FALSE)</f>
        <v>Zhao, Tian; Huang, Xiaobing; Cao, Yu</v>
      </c>
      <c r="E7" t="str">
        <f>VLOOKUP(Tabelle4[[#This Row],[Key]],'3. Unique Results'!A:X,5,FALSE)</f>
        <v>DeepDSL: A Compilation-based Domain-Specific Language for Deep Learning</v>
      </c>
      <c r="F7" t="str">
        <f>VLOOKUP(Tabelle4[[#This Row],[Key]],'3. Unique Results'!A:X,6,FALSE)</f>
        <v>5th International Conference on Learning Representations, ICLR 2017, Toulon, France, April 24-26, 2017, Conference Track Proceedings</v>
      </c>
      <c r="G7" t="str">
        <f>VLOOKUP(Tabelle4[[#This Row],[Key]],'3. Unique Results'!A:X,7,FALSE)</f>
        <v/>
      </c>
      <c r="H7" t="str">
        <f>VLOOKUP(Tabelle4[[#This Row],[Key]],'3. Unique Results'!A:X,8,FALSE)</f>
        <v/>
      </c>
      <c r="I7" t="str">
        <f>VLOOKUP(Tabelle4[[#This Row],[Key]],'3. Unique Results'!A:X,9,FALSE)</f>
        <v/>
      </c>
      <c r="J7" t="str">
        <f>VLOOKUP(Tabelle4[[#This Row],[Key]],'3. Unique Results'!A:X,10,FALSE)</f>
        <v>https://openreview.net/forum?id=Bks8cPcxe</v>
      </c>
      <c r="K7" t="str">
        <f>VLOOKUP(Tabelle4[[#This Row],[Key]],'3. Unique Results'!A:X,11,FALSE)</f>
        <v>2017</v>
      </c>
      <c r="L7">
        <f>VLOOKUP(Tabelle4[[#This Row],[Key]],'3. Unique Results'!A:X,12,FALSE)</f>
        <v>44887.363807870373</v>
      </c>
      <c r="M7" s="17">
        <f>VLOOKUP(Tabelle4[[#This Row],[Key]],'3. Unique Results'!A:X,13,FALSE)</f>
        <v>44887.363807870373</v>
      </c>
      <c r="N7" s="17">
        <f>VLOOKUP(Tabelle4[[#This Row],[Key]],'3. Unique Results'!A:X,14,FALSE)</f>
        <v>0</v>
      </c>
      <c r="O7" t="str">
        <f>VLOOKUP(Tabelle4[[#This Row],[Key]],'3. Unique Results'!A:X,15,FALSE)</f>
        <v/>
      </c>
      <c r="P7" t="str">
        <f>VLOOKUP(Tabelle4[[#This Row],[Key]],'3. Unique Results'!A:X,16,FALSE)</f>
        <v/>
      </c>
      <c r="Q7" t="str">
        <f>VLOOKUP(Tabelle4[[#This Row],[Key]],'3. Unique Results'!A:X,17,FALSE)</f>
        <v/>
      </c>
      <c r="R7" t="str">
        <f>VLOOKUP(Tabelle4[[#This Row],[Key]],'3. Unique Results'!A:X,18,FALSE)</f>
        <v/>
      </c>
      <c r="S7" t="str">
        <f>VLOOKUP(Tabelle4[[#This Row],[Key]],'3. Unique Results'!A:X,19,FALSE)</f>
        <v/>
      </c>
      <c r="T7" t="str">
        <f>VLOOKUP(Tabelle4[[#This Row],[Key]],'3. Unique Results'!A:X,20,FALSE)</f>
        <v>OpenReview.net</v>
      </c>
      <c r="U7" t="str">
        <f>VLOOKUP(Tabelle4[[#This Row],[Key]],'3. Unique Results'!A:X,21,FALSE)</f>
        <v/>
      </c>
      <c r="V7" t="str">
        <f>VLOOKUP(Tabelle4[[#This Row],[Key]],'3. Unique Results'!A:X,22,FALSE)</f>
        <v/>
      </c>
      <c r="W7" t="str">
        <f>VLOOKUP(Tabelle4[[#This Row],[Key]],'3. Unique Results'!A:X,23,FALSE)</f>
        <v/>
      </c>
    </row>
    <row r="8" spans="1:23">
      <c r="A8" t="s">
        <v>4436</v>
      </c>
      <c r="B8" t="str">
        <f>VLOOKUP(Tabelle4[[#This Row],[Key]],'3. Unique Results'!A:X,2,FALSE)</f>
        <v>conferencePaper</v>
      </c>
      <c r="C8">
        <f>VLOOKUP(Tabelle4[[#This Row],[Key]],'3. Unique Results'!A:X,3,FALSE)</f>
        <v>2011</v>
      </c>
      <c r="D8" t="str">
        <f>VLOOKUP(Tabelle4[[#This Row],[Key]],'3. Unique Results'!A:X,4,FALSE)</f>
        <v>Chafi, Hassan; Sujeeth, Arvind K.; Brown, Kevin J.; Lee, HyoukJoong; Atreya, Anand R.; Olukotun, Kunle</v>
      </c>
      <c r="E8" t="str">
        <f>VLOOKUP(Tabelle4[[#This Row],[Key]],'3. Unique Results'!A:X,5,FALSE)</f>
        <v>A Domain-Specific Approach to Heterogeneous Parallelism</v>
      </c>
      <c r="F8" t="str">
        <f>VLOOKUP(Tabelle4[[#This Row],[Key]],'3. Unique Results'!A:X,6,FALSE)</f>
        <v>Proceedings of the 16th ACM Symposium on Principles and Practice of Parallel Programming</v>
      </c>
      <c r="G8" t="str">
        <f>VLOOKUP(Tabelle4[[#This Row],[Key]],'3. Unique Results'!A:X,7,FALSE)</f>
        <v>978-1-4503-0119-0</v>
      </c>
      <c r="H8" t="str">
        <f>VLOOKUP(Tabelle4[[#This Row],[Key]],'3. Unique Results'!A:X,8,FALSE)</f>
        <v/>
      </c>
      <c r="I8" t="str">
        <f>VLOOKUP(Tabelle4[[#This Row],[Key]],'3. Unique Results'!A:X,9,FALSE)</f>
        <v>10.1145/1941553.1941561</v>
      </c>
      <c r="J8" t="str">
        <f>VLOOKUP(Tabelle4[[#This Row],[Key]],'3. Unique Results'!A:X,10,FALSE)</f>
        <v>https://doi.org/10.1145/1941553.1941561</v>
      </c>
      <c r="K8" t="str">
        <f>VLOOKUP(Tabelle4[[#This Row],[Key]],'3. Unique Results'!A:X,11,FALSE)</f>
        <v>2011</v>
      </c>
      <c r="L8">
        <f>VLOOKUP(Tabelle4[[#This Row],[Key]],'3. Unique Results'!A:X,12,FALSE)</f>
        <v>44887.363807870373</v>
      </c>
      <c r="M8" s="17">
        <f>VLOOKUP(Tabelle4[[#This Row],[Key]],'3. Unique Results'!A:X,13,FALSE)</f>
        <v>44887.363807870373</v>
      </c>
      <c r="N8" s="17">
        <f>VLOOKUP(Tabelle4[[#This Row],[Key]],'3. Unique Results'!A:X,14,FALSE)</f>
        <v>0</v>
      </c>
      <c r="O8" t="str">
        <f>VLOOKUP(Tabelle4[[#This Row],[Key]],'3. Unique Results'!A:X,15,FALSE)</f>
        <v>35–46</v>
      </c>
      <c r="P8" t="str">
        <f>VLOOKUP(Tabelle4[[#This Row],[Key]],'3. Unique Results'!A:X,16,FALSE)</f>
        <v/>
      </c>
      <c r="Q8" t="str">
        <f>VLOOKUP(Tabelle4[[#This Row],[Key]],'3. Unique Results'!A:X,17,FALSE)</f>
        <v/>
      </c>
      <c r="R8" t="str">
        <f>VLOOKUP(Tabelle4[[#This Row],[Key]],'3. Unique Results'!A:X,18,FALSE)</f>
        <v/>
      </c>
      <c r="S8" t="str">
        <f>VLOOKUP(Tabelle4[[#This Row],[Key]],'3. Unique Results'!A:X,19,FALSE)</f>
        <v/>
      </c>
      <c r="T8" t="str">
        <f>VLOOKUP(Tabelle4[[#This Row],[Key]],'3. Unique Results'!A:X,20,FALSE)</f>
        <v>Association for Computing Machinery</v>
      </c>
      <c r="U8" t="str">
        <f>VLOOKUP(Tabelle4[[#This Row],[Key]],'3. Unique Results'!A:X,21,FALSE)</f>
        <v>New York, NY, USA</v>
      </c>
      <c r="V8" t="str">
        <f>VLOOKUP(Tabelle4[[#This Row],[Key]],'3. Unique Results'!A:X,22,FALSE)</f>
        <v/>
      </c>
      <c r="W8" t="str">
        <f>VLOOKUP(Tabelle4[[#This Row],[Key]],'3. Unique Results'!A:X,23,FALSE)</f>
        <v/>
      </c>
    </row>
    <row r="9" spans="1:23">
      <c r="A9" t="s">
        <v>5784</v>
      </c>
      <c r="B9" t="str">
        <f>VLOOKUP(Tabelle4[[#This Row],[Key]],'3. Unique Results'!A:X,2,FALSE)</f>
        <v>bookSection</v>
      </c>
      <c r="C9">
        <f>VLOOKUP(Tabelle4[[#This Row],[Key]],'3. Unique Results'!A:X,3,FALSE)</f>
        <v>2009</v>
      </c>
      <c r="D9" t="str">
        <f>VLOOKUP(Tabelle4[[#This Row],[Key]],'3. Unique Results'!A:X,4,FALSE)</f>
        <v>García-Díaz, Vicente; Tolosa, Jose Barranquero; G-Bustelo, B. Cristina Pelayo; Palacios-González, Elías; Sanjuan-Martínez, Óscar; Crespo, Rubén González</v>
      </c>
      <c r="E9" t="str">
        <f>VLOOKUP(Tabelle4[[#This Row],[Key]],'3. Unique Results'!A:X,5,FALSE)</f>
        <v>TALISMAN MDE Framework: An Architecture for Intelligent Model-Driven Engineering</v>
      </c>
      <c r="F9" t="str">
        <f>VLOOKUP(Tabelle4[[#This Row],[Key]],'3. Unique Results'!A:X,6,FALSE)</f>
        <v>Distributed Computing, Artificial Intelligence, Bioinformatics, Soft Computing, and Ambient Assisted Living</v>
      </c>
      <c r="G9" t="str">
        <f>VLOOKUP(Tabelle4[[#This Row],[Key]],'3. Unique Results'!A:X,7,FALSE)</f>
        <v>978-3-642-02480-1 978-3-642-02481-8</v>
      </c>
      <c r="H9" t="str">
        <f>VLOOKUP(Tabelle4[[#This Row],[Key]],'3. Unique Results'!A:X,8,FALSE)</f>
        <v/>
      </c>
      <c r="I9" t="str">
        <f>VLOOKUP(Tabelle4[[#This Row],[Key]],'3. Unique Results'!A:X,9,FALSE)</f>
        <v/>
      </c>
      <c r="J9" t="str">
        <f>VLOOKUP(Tabelle4[[#This Row],[Key]],'3. Unique Results'!A:X,10,FALSE)</f>
        <v>http://link.springer.com/10.1007/978-3-642-02481-8_43</v>
      </c>
      <c r="K9" t="str">
        <f>VLOOKUP(Tabelle4[[#This Row],[Key]],'3. Unique Results'!A:X,11,FALSE)</f>
        <v>2009</v>
      </c>
      <c r="L9">
        <f>VLOOKUP(Tabelle4[[#This Row],[Key]],'3. Unique Results'!A:X,12,FALSE)</f>
        <v>44887.363807870373</v>
      </c>
      <c r="M9" s="17">
        <f>VLOOKUP(Tabelle4[[#This Row],[Key]],'3. Unique Results'!A:X,13,FALSE)</f>
        <v>44887.363807870373</v>
      </c>
      <c r="N9" s="17">
        <f>VLOOKUP(Tabelle4[[#This Row],[Key]],'3. Unique Results'!A:X,14,FALSE)</f>
        <v>44886.598043981481</v>
      </c>
      <c r="O9" t="str">
        <f>VLOOKUP(Tabelle4[[#This Row],[Key]],'3. Unique Results'!A:X,15,FALSE)</f>
        <v>299-306</v>
      </c>
      <c r="P9" t="str">
        <f>VLOOKUP(Tabelle4[[#This Row],[Key]],'3. Unique Results'!A:X,16,FALSE)</f>
        <v/>
      </c>
      <c r="Q9" t="str">
        <f>VLOOKUP(Tabelle4[[#This Row],[Key]],'3. Unique Results'!A:X,17,FALSE)</f>
        <v>5518</v>
      </c>
      <c r="R9" t="str">
        <f>VLOOKUP(Tabelle4[[#This Row],[Key]],'3. Unique Results'!A:X,18,FALSE)</f>
        <v/>
      </c>
      <c r="S9" t="str">
        <f>VLOOKUP(Tabelle4[[#This Row],[Key]],'3. Unique Results'!A:X,19,FALSE)</f>
        <v>TALISMAN MDE Framework</v>
      </c>
      <c r="T9" t="str">
        <f>VLOOKUP(Tabelle4[[#This Row],[Key]],'3. Unique Results'!A:X,20,FALSE)</f>
        <v>Springer Berlin Heidelberg</v>
      </c>
      <c r="U9" t="str">
        <f>VLOOKUP(Tabelle4[[#This Row],[Key]],'3. Unique Results'!A:X,21,FALSE)</f>
        <v>Berlin, Heidelberg</v>
      </c>
      <c r="V9" t="str">
        <f>VLOOKUP(Tabelle4[[#This Row],[Key]],'3. Unique Results'!A:X,22,FALSE)</f>
        <v/>
      </c>
      <c r="W9" t="str">
        <f>VLOOKUP(Tabelle4[[#This Row],[Key]],'3. Unique Results'!A:X,23,FALSE)</f>
        <v>DOI.org (Crossref)</v>
      </c>
    </row>
    <row r="10" spans="1:23">
      <c r="A10" t="s">
        <v>5786</v>
      </c>
      <c r="B10" t="str">
        <f>VLOOKUP(Tabelle4[[#This Row],[Key]],'3. Unique Results'!A:X,2,FALSE)</f>
        <v>journalArticle</v>
      </c>
      <c r="C10">
        <f>VLOOKUP(Tabelle4[[#This Row],[Key]],'3. Unique Results'!A:X,3,FALSE)</f>
        <v>2020</v>
      </c>
      <c r="D10" t="str">
        <f>VLOOKUP(Tabelle4[[#This Row],[Key]],'3. Unique Results'!A:X,4,FALSE)</f>
        <v>Meacham, Sofia; Pech, Vaclav; Nauck, Detlef</v>
      </c>
      <c r="E10" t="str">
        <f>VLOOKUP(Tabelle4[[#This Row],[Key]],'3. Unique Results'!A:X,5,FALSE)</f>
        <v>AdaptiveVLE: An Integrated Framework for Personalized Online Education Using MPS JetBrains Domain-Specific Modeling Environment</v>
      </c>
      <c r="F10" t="str">
        <f>VLOOKUP(Tabelle4[[#This Row],[Key]],'3. Unique Results'!A:X,6,FALSE)</f>
        <v>IEEE Access</v>
      </c>
      <c r="G10" t="str">
        <f>VLOOKUP(Tabelle4[[#This Row],[Key]],'3. Unique Results'!A:X,7,FALSE)</f>
        <v/>
      </c>
      <c r="H10" t="str">
        <f>VLOOKUP(Tabelle4[[#This Row],[Key]],'3. Unique Results'!A:X,8,FALSE)</f>
        <v/>
      </c>
      <c r="I10" t="str">
        <f>VLOOKUP(Tabelle4[[#This Row],[Key]],'3. Unique Results'!A:X,9,FALSE)</f>
        <v>10.1109/ACCESS.2020.3029888</v>
      </c>
      <c r="J10" t="str">
        <f>VLOOKUP(Tabelle4[[#This Row],[Key]],'3. Unique Results'!A:X,10,FALSE)</f>
        <v/>
      </c>
      <c r="K10" t="str">
        <f>VLOOKUP(Tabelle4[[#This Row],[Key]],'3. Unique Results'!A:X,11,FALSE)</f>
        <v>2020</v>
      </c>
      <c r="L10">
        <f>VLOOKUP(Tabelle4[[#This Row],[Key]],'3. Unique Results'!A:X,12,FALSE)</f>
        <v>44887.363807870373</v>
      </c>
      <c r="M10" s="17">
        <f>VLOOKUP(Tabelle4[[#This Row],[Key]],'3. Unique Results'!A:X,13,FALSE)</f>
        <v>44887.363807870373</v>
      </c>
      <c r="N10" s="17">
        <f>VLOOKUP(Tabelle4[[#This Row],[Key]],'3. Unique Results'!A:X,14,FALSE)</f>
        <v>0</v>
      </c>
      <c r="O10" t="str">
        <f>VLOOKUP(Tabelle4[[#This Row],[Key]],'3. Unique Results'!A:X,15,FALSE)</f>
        <v>184621-184632</v>
      </c>
      <c r="P10" t="str">
        <f>VLOOKUP(Tabelle4[[#This Row],[Key]],'3. Unique Results'!A:X,16,FALSE)</f>
        <v/>
      </c>
      <c r="Q10" t="str">
        <f>VLOOKUP(Tabelle4[[#This Row],[Key]],'3. Unique Results'!A:X,17,FALSE)</f>
        <v>8</v>
      </c>
      <c r="R10" t="str">
        <f>VLOOKUP(Tabelle4[[#This Row],[Key]],'3. Unique Results'!A:X,18,FALSE)</f>
        <v/>
      </c>
      <c r="S10" t="str">
        <f>VLOOKUP(Tabelle4[[#This Row],[Key]],'3. Unique Results'!A:X,19,FALSE)</f>
        <v/>
      </c>
      <c r="T10" t="str">
        <f>VLOOKUP(Tabelle4[[#This Row],[Key]],'3. Unique Results'!A:X,20,FALSE)</f>
        <v/>
      </c>
      <c r="U10" t="str">
        <f>VLOOKUP(Tabelle4[[#This Row],[Key]],'3. Unique Results'!A:X,21,FALSE)</f>
        <v/>
      </c>
      <c r="V10" t="str">
        <f>VLOOKUP(Tabelle4[[#This Row],[Key]],'3. Unique Results'!A:X,22,FALSE)</f>
        <v/>
      </c>
      <c r="W10" t="str">
        <f>VLOOKUP(Tabelle4[[#This Row],[Key]],'3. Unique Results'!A:X,23,FALSE)</f>
        <v/>
      </c>
    </row>
    <row r="11" spans="1:23">
      <c r="A11" t="s">
        <v>5787</v>
      </c>
      <c r="B11" t="str">
        <f>VLOOKUP(Tabelle4[[#This Row],[Key]],'3. Unique Results'!A:X,2,FALSE)</f>
        <v>conferencePaper</v>
      </c>
      <c r="C11">
        <f>VLOOKUP(Tabelle4[[#This Row],[Key]],'3. Unique Results'!A:X,3,FALSE)</f>
        <v>2020</v>
      </c>
      <c r="D11" t="str">
        <f>VLOOKUP(Tabelle4[[#This Row],[Key]],'3. Unique Results'!A:X,4,FALSE)</f>
        <v>Ziaei, Mahdi; Zamani, Bahman; Bohlooli, Ali</v>
      </c>
      <c r="E11" t="str">
        <f>VLOOKUP(Tabelle4[[#This Row],[Key]],'3. Unique Results'!A:X,5,FALSE)</f>
        <v>A Model-Driven Approach for IoT-Based Monitoring Systems in Industry 4.0</v>
      </c>
      <c r="F11" t="str">
        <f>VLOOKUP(Tabelle4[[#This Row],[Key]],'3. Unique Results'!A:X,6,FALSE)</f>
        <v>2020 4th International Conference on Smart City, Internet of Things and Applications (SCIOT)</v>
      </c>
      <c r="G11" t="str">
        <f>VLOOKUP(Tabelle4[[#This Row],[Key]],'3. Unique Results'!A:X,7,FALSE)</f>
        <v/>
      </c>
      <c r="H11" t="str">
        <f>VLOOKUP(Tabelle4[[#This Row],[Key]],'3. Unique Results'!A:X,8,FALSE)</f>
        <v/>
      </c>
      <c r="I11" t="str">
        <f>VLOOKUP(Tabelle4[[#This Row],[Key]],'3. Unique Results'!A:X,9,FALSE)</f>
        <v>10.1109/SCIOT50840.2020.9250202</v>
      </c>
      <c r="J11" t="str">
        <f>VLOOKUP(Tabelle4[[#This Row],[Key]],'3. Unique Results'!A:X,10,FALSE)</f>
        <v/>
      </c>
      <c r="K11" t="str">
        <f>VLOOKUP(Tabelle4[[#This Row],[Key]],'3. Unique Results'!A:X,11,FALSE)</f>
        <v>2020</v>
      </c>
      <c r="L11">
        <f>VLOOKUP(Tabelle4[[#This Row],[Key]],'3. Unique Results'!A:X,12,FALSE)</f>
        <v>44887.363807870373</v>
      </c>
      <c r="M11" s="17">
        <f>VLOOKUP(Tabelle4[[#This Row],[Key]],'3. Unique Results'!A:X,13,FALSE)</f>
        <v>44887.363807870373</v>
      </c>
      <c r="N11" s="17">
        <f>VLOOKUP(Tabelle4[[#This Row],[Key]],'3. Unique Results'!A:X,14,FALSE)</f>
        <v>0</v>
      </c>
      <c r="O11" t="str">
        <f>VLOOKUP(Tabelle4[[#This Row],[Key]],'3. Unique Results'!A:X,15,FALSE)</f>
        <v>99-105</v>
      </c>
      <c r="P11" t="str">
        <f>VLOOKUP(Tabelle4[[#This Row],[Key]],'3. Unique Results'!A:X,16,FALSE)</f>
        <v/>
      </c>
      <c r="Q11" t="str">
        <f>VLOOKUP(Tabelle4[[#This Row],[Key]],'3. Unique Results'!A:X,17,FALSE)</f>
        <v/>
      </c>
      <c r="R11" t="str">
        <f>VLOOKUP(Tabelle4[[#This Row],[Key]],'3. Unique Results'!A:X,18,FALSE)</f>
        <v/>
      </c>
      <c r="S11" t="str">
        <f>VLOOKUP(Tabelle4[[#This Row],[Key]],'3. Unique Results'!A:X,19,FALSE)</f>
        <v/>
      </c>
      <c r="T11" t="str">
        <f>VLOOKUP(Tabelle4[[#This Row],[Key]],'3. Unique Results'!A:X,20,FALSE)</f>
        <v/>
      </c>
      <c r="U11" t="str">
        <f>VLOOKUP(Tabelle4[[#This Row],[Key]],'3. Unique Results'!A:X,21,FALSE)</f>
        <v/>
      </c>
      <c r="V11" t="str">
        <f>VLOOKUP(Tabelle4[[#This Row],[Key]],'3. Unique Results'!A:X,22,FALSE)</f>
        <v/>
      </c>
      <c r="W11" t="str">
        <f>VLOOKUP(Tabelle4[[#This Row],[Key]],'3. Unique Results'!A:X,23,FALSE)</f>
        <v/>
      </c>
    </row>
    <row r="12" spans="1:23">
      <c r="A12" t="s">
        <v>5788</v>
      </c>
      <c r="B12" t="str">
        <f>VLOOKUP(Tabelle4[[#This Row],[Key]],'3. Unique Results'!A:X,2,FALSE)</f>
        <v>conferencePaper</v>
      </c>
      <c r="C12">
        <f>VLOOKUP(Tabelle4[[#This Row],[Key]],'3. Unique Results'!A:X,3,FALSE)</f>
        <v>2019</v>
      </c>
      <c r="D12" t="str">
        <f>VLOOKUP(Tabelle4[[#This Row],[Key]],'3. Unique Results'!A:X,4,FALSE)</f>
        <v>Shokooh, Shervin; Nordvik, Geir</v>
      </c>
      <c r="E12" t="str">
        <f>VLOOKUP(Tabelle4[[#This Row],[Key]],'3. Unique Results'!A:X,5,FALSE)</f>
        <v>A Model-Driven Approach for Situational Intelligence &amp; Operational Awareness</v>
      </c>
      <c r="F12" t="str">
        <f>VLOOKUP(Tabelle4[[#This Row],[Key]],'3. Unique Results'!A:X,6,FALSE)</f>
        <v>2019 Petroleum and Chemical Industry Conference Europe (PCIC EUROPE)</v>
      </c>
      <c r="G12" t="str">
        <f>VLOOKUP(Tabelle4[[#This Row],[Key]],'3. Unique Results'!A:X,7,FALSE)</f>
        <v/>
      </c>
      <c r="H12" t="str">
        <f>VLOOKUP(Tabelle4[[#This Row],[Key]],'3. Unique Results'!A:X,8,FALSE)</f>
        <v/>
      </c>
      <c r="I12" t="str">
        <f>VLOOKUP(Tabelle4[[#This Row],[Key]],'3. Unique Results'!A:X,9,FALSE)</f>
        <v>10.23919/PCICEurope46863.2019.9011632</v>
      </c>
      <c r="J12" t="str">
        <f>VLOOKUP(Tabelle4[[#This Row],[Key]],'3. Unique Results'!A:X,10,FALSE)</f>
        <v/>
      </c>
      <c r="K12" t="str">
        <f>VLOOKUP(Tabelle4[[#This Row],[Key]],'3. Unique Results'!A:X,11,FALSE)</f>
        <v>2019</v>
      </c>
      <c r="L12">
        <f>VLOOKUP(Tabelle4[[#This Row],[Key]],'3. Unique Results'!A:X,12,FALSE)</f>
        <v>44887.363807870373</v>
      </c>
      <c r="M12" s="17">
        <f>VLOOKUP(Tabelle4[[#This Row],[Key]],'3. Unique Results'!A:X,13,FALSE)</f>
        <v>44887.363807870373</v>
      </c>
      <c r="N12" s="17">
        <f>VLOOKUP(Tabelle4[[#This Row],[Key]],'3. Unique Results'!A:X,14,FALSE)</f>
        <v>0</v>
      </c>
      <c r="O12" t="str">
        <f>VLOOKUP(Tabelle4[[#This Row],[Key]],'3. Unique Results'!A:X,15,FALSE)</f>
        <v>1-8</v>
      </c>
      <c r="P12" t="str">
        <f>VLOOKUP(Tabelle4[[#This Row],[Key]],'3. Unique Results'!A:X,16,FALSE)</f>
        <v/>
      </c>
      <c r="Q12" t="str">
        <f>VLOOKUP(Tabelle4[[#This Row],[Key]],'3. Unique Results'!A:X,17,FALSE)</f>
        <v/>
      </c>
      <c r="R12" t="str">
        <f>VLOOKUP(Tabelle4[[#This Row],[Key]],'3. Unique Results'!A:X,18,FALSE)</f>
        <v/>
      </c>
      <c r="S12" t="str">
        <f>VLOOKUP(Tabelle4[[#This Row],[Key]],'3. Unique Results'!A:X,19,FALSE)</f>
        <v/>
      </c>
      <c r="T12" t="str">
        <f>VLOOKUP(Tabelle4[[#This Row],[Key]],'3. Unique Results'!A:X,20,FALSE)</f>
        <v/>
      </c>
      <c r="U12" t="str">
        <f>VLOOKUP(Tabelle4[[#This Row],[Key]],'3. Unique Results'!A:X,21,FALSE)</f>
        <v/>
      </c>
      <c r="V12" t="str">
        <f>VLOOKUP(Tabelle4[[#This Row],[Key]],'3. Unique Results'!A:X,22,FALSE)</f>
        <v/>
      </c>
      <c r="W12" t="str">
        <f>VLOOKUP(Tabelle4[[#This Row],[Key]],'3. Unique Results'!A:X,23,FALSE)</f>
        <v/>
      </c>
    </row>
    <row r="13" spans="1:23">
      <c r="A13" t="s">
        <v>5789</v>
      </c>
      <c r="B13" t="str">
        <f>VLOOKUP(Tabelle4[[#This Row],[Key]],'3. Unique Results'!A:X,2,FALSE)</f>
        <v>conferencePaper</v>
      </c>
      <c r="C13">
        <f>VLOOKUP(Tabelle4[[#This Row],[Key]],'3. Unique Results'!A:X,3,FALSE)</f>
        <v>2021</v>
      </c>
      <c r="D13" t="str">
        <f>VLOOKUP(Tabelle4[[#This Row],[Key]],'3. Unique Results'!A:X,4,FALSE)</f>
        <v>Cong, Jason</v>
      </c>
      <c r="E13" t="str">
        <f>VLOOKUP(Tabelle4[[#This Row],[Key]],'3. Unique Results'!A:X,5,FALSE)</f>
        <v>From Parallelization to Customization – Challenges and Opportunities</v>
      </c>
      <c r="F13" t="str">
        <f>VLOOKUP(Tabelle4[[#This Row],[Key]],'3. Unique Results'!A:X,6,FALSE)</f>
        <v>2021 IEEE International Parallel and Distributed Processing Symposium (IPDPS)</v>
      </c>
      <c r="G13" t="str">
        <f>VLOOKUP(Tabelle4[[#This Row],[Key]],'3. Unique Results'!A:X,7,FALSE)</f>
        <v/>
      </c>
      <c r="H13" t="str">
        <f>VLOOKUP(Tabelle4[[#This Row],[Key]],'3. Unique Results'!A:X,8,FALSE)</f>
        <v/>
      </c>
      <c r="I13" t="str">
        <f>VLOOKUP(Tabelle4[[#This Row],[Key]],'3. Unique Results'!A:X,9,FALSE)</f>
        <v>10.1109/IPDPS49936.2021.00077</v>
      </c>
      <c r="J13" t="str">
        <f>VLOOKUP(Tabelle4[[#This Row],[Key]],'3. Unique Results'!A:X,10,FALSE)</f>
        <v/>
      </c>
      <c r="K13" t="str">
        <f>VLOOKUP(Tabelle4[[#This Row],[Key]],'3. Unique Results'!A:X,11,FALSE)</f>
        <v>2021</v>
      </c>
      <c r="L13">
        <f>VLOOKUP(Tabelle4[[#This Row],[Key]],'3. Unique Results'!A:X,12,FALSE)</f>
        <v>44887.363807870373</v>
      </c>
      <c r="M13" s="17">
        <f>VLOOKUP(Tabelle4[[#This Row],[Key]],'3. Unique Results'!A:X,13,FALSE)</f>
        <v>44887.363807870373</v>
      </c>
      <c r="N13" s="17">
        <f>VLOOKUP(Tabelle4[[#This Row],[Key]],'3. Unique Results'!A:X,14,FALSE)</f>
        <v>0</v>
      </c>
      <c r="O13" t="str">
        <f>VLOOKUP(Tabelle4[[#This Row],[Key]],'3. Unique Results'!A:X,15,FALSE)</f>
        <v>682-682</v>
      </c>
      <c r="P13" t="str">
        <f>VLOOKUP(Tabelle4[[#This Row],[Key]],'3. Unique Results'!A:X,16,FALSE)</f>
        <v/>
      </c>
      <c r="Q13" t="str">
        <f>VLOOKUP(Tabelle4[[#This Row],[Key]],'3. Unique Results'!A:X,17,FALSE)</f>
        <v/>
      </c>
      <c r="R13" t="str">
        <f>VLOOKUP(Tabelle4[[#This Row],[Key]],'3. Unique Results'!A:X,18,FALSE)</f>
        <v/>
      </c>
      <c r="S13" t="str">
        <f>VLOOKUP(Tabelle4[[#This Row],[Key]],'3. Unique Results'!A:X,19,FALSE)</f>
        <v/>
      </c>
      <c r="T13" t="str">
        <f>VLOOKUP(Tabelle4[[#This Row],[Key]],'3. Unique Results'!A:X,20,FALSE)</f>
        <v/>
      </c>
      <c r="U13" t="str">
        <f>VLOOKUP(Tabelle4[[#This Row],[Key]],'3. Unique Results'!A:X,21,FALSE)</f>
        <v/>
      </c>
      <c r="V13" t="str">
        <f>VLOOKUP(Tabelle4[[#This Row],[Key]],'3. Unique Results'!A:X,22,FALSE)</f>
        <v/>
      </c>
      <c r="W13" t="str">
        <f>VLOOKUP(Tabelle4[[#This Row],[Key]],'3. Unique Results'!A:X,23,FALSE)</f>
        <v/>
      </c>
    </row>
    <row r="14" spans="1:23">
      <c r="A14" t="s">
        <v>5790</v>
      </c>
      <c r="B14" t="str">
        <f>VLOOKUP(Tabelle4[[#This Row],[Key]],'3. Unique Results'!A:X,2,FALSE)</f>
        <v>conferencePaper</v>
      </c>
      <c r="C14">
        <f>VLOOKUP(Tabelle4[[#This Row],[Key]],'3. Unique Results'!A:X,3,FALSE)</f>
        <v>2011</v>
      </c>
      <c r="D14" t="str">
        <f>VLOOKUP(Tabelle4[[#This Row],[Key]],'3. Unique Results'!A:X,4,FALSE)</f>
        <v>Brown, Kevin J.; Sujeeth, Arvind K.; Lee, Hyouk Joong; Rompf, Tiark; Chafi, Hassan; Odersky, Martin; Olukotun, Kunle</v>
      </c>
      <c r="E14" t="str">
        <f>VLOOKUP(Tabelle4[[#This Row],[Key]],'3. Unique Results'!A:X,5,FALSE)</f>
        <v>A Heterogeneous Parallel Framework for Domain-Specific Languages</v>
      </c>
      <c r="F14" t="str">
        <f>VLOOKUP(Tabelle4[[#This Row],[Key]],'3. Unique Results'!A:X,6,FALSE)</f>
        <v>2011 International Conference on Parallel Architectures and Compilation Techniques</v>
      </c>
      <c r="G14" t="str">
        <f>VLOOKUP(Tabelle4[[#This Row],[Key]],'3. Unique Results'!A:X,7,FALSE)</f>
        <v/>
      </c>
      <c r="H14" t="str">
        <f>VLOOKUP(Tabelle4[[#This Row],[Key]],'3. Unique Results'!A:X,8,FALSE)</f>
        <v/>
      </c>
      <c r="I14" t="str">
        <f>VLOOKUP(Tabelle4[[#This Row],[Key]],'3. Unique Results'!A:X,9,FALSE)</f>
        <v>10.1109/PACT.2011.15</v>
      </c>
      <c r="J14" t="str">
        <f>VLOOKUP(Tabelle4[[#This Row],[Key]],'3. Unique Results'!A:X,10,FALSE)</f>
        <v/>
      </c>
      <c r="K14" t="str">
        <f>VLOOKUP(Tabelle4[[#This Row],[Key]],'3. Unique Results'!A:X,11,FALSE)</f>
        <v>2011</v>
      </c>
      <c r="L14">
        <f>VLOOKUP(Tabelle4[[#This Row],[Key]],'3. Unique Results'!A:X,12,FALSE)</f>
        <v>44887.363807870373</v>
      </c>
      <c r="M14" s="17">
        <f>VLOOKUP(Tabelle4[[#This Row],[Key]],'3. Unique Results'!A:X,13,FALSE)</f>
        <v>44887.363807870373</v>
      </c>
      <c r="N14" s="17">
        <f>VLOOKUP(Tabelle4[[#This Row],[Key]],'3. Unique Results'!A:X,14,FALSE)</f>
        <v>0</v>
      </c>
      <c r="O14" t="str">
        <f>VLOOKUP(Tabelle4[[#This Row],[Key]],'3. Unique Results'!A:X,15,FALSE)</f>
        <v>89-100</v>
      </c>
      <c r="P14" t="str">
        <f>VLOOKUP(Tabelle4[[#This Row],[Key]],'3. Unique Results'!A:X,16,FALSE)</f>
        <v/>
      </c>
      <c r="Q14" t="str">
        <f>VLOOKUP(Tabelle4[[#This Row],[Key]],'3. Unique Results'!A:X,17,FALSE)</f>
        <v/>
      </c>
      <c r="R14" t="str">
        <f>VLOOKUP(Tabelle4[[#This Row],[Key]],'3. Unique Results'!A:X,18,FALSE)</f>
        <v/>
      </c>
      <c r="S14" t="str">
        <f>VLOOKUP(Tabelle4[[#This Row],[Key]],'3. Unique Results'!A:X,19,FALSE)</f>
        <v/>
      </c>
      <c r="T14" t="str">
        <f>VLOOKUP(Tabelle4[[#This Row],[Key]],'3. Unique Results'!A:X,20,FALSE)</f>
        <v/>
      </c>
      <c r="U14" t="str">
        <f>VLOOKUP(Tabelle4[[#This Row],[Key]],'3. Unique Results'!A:X,21,FALSE)</f>
        <v/>
      </c>
      <c r="V14" t="str">
        <f>VLOOKUP(Tabelle4[[#This Row],[Key]],'3. Unique Results'!A:X,22,FALSE)</f>
        <v/>
      </c>
      <c r="W14" t="str">
        <f>VLOOKUP(Tabelle4[[#This Row],[Key]],'3. Unique Results'!A:X,23,FALSE)</f>
        <v/>
      </c>
    </row>
    <row r="15" spans="1:23">
      <c r="A15" t="s">
        <v>4437</v>
      </c>
      <c r="B15" t="str">
        <f>VLOOKUP(Tabelle4[[#This Row],[Key]],'3. Unique Results'!A:X,2,FALSE)</f>
        <v>conferencePaper</v>
      </c>
      <c r="C15">
        <f>VLOOKUP(Tabelle4[[#This Row],[Key]],'3. Unique Results'!A:X,3,FALSE)</f>
        <v>2020</v>
      </c>
      <c r="D15" t="str">
        <f>VLOOKUP(Tabelle4[[#This Row],[Key]],'3. Unique Results'!A:X,4,FALSE)</f>
        <v>Al-Azzoni, Issam</v>
      </c>
      <c r="E15" t="str">
        <f>VLOOKUP(Tabelle4[[#This Row],[Key]],'3. Unique Results'!A:X,5,FALSE)</f>
        <v>Model Driven Approach for Neural Networks</v>
      </c>
      <c r="F15" t="str">
        <f>VLOOKUP(Tabelle4[[#This Row],[Key]],'3. Unique Results'!A:X,6,FALSE)</f>
        <v>2020 International Conference on Intelligent Data Science Technologies and Applications (IDSTA)</v>
      </c>
      <c r="G15" t="str">
        <f>VLOOKUP(Tabelle4[[#This Row],[Key]],'3. Unique Results'!A:X,7,FALSE)</f>
        <v/>
      </c>
      <c r="H15" t="str">
        <f>VLOOKUP(Tabelle4[[#This Row],[Key]],'3. Unique Results'!A:X,8,FALSE)</f>
        <v/>
      </c>
      <c r="I15" t="str">
        <f>VLOOKUP(Tabelle4[[#This Row],[Key]],'3. Unique Results'!A:X,9,FALSE)</f>
        <v>10.1109/IDSTA50958.2020.9264067</v>
      </c>
      <c r="J15" t="str">
        <f>VLOOKUP(Tabelle4[[#This Row],[Key]],'3. Unique Results'!A:X,10,FALSE)</f>
        <v/>
      </c>
      <c r="K15" t="str">
        <f>VLOOKUP(Tabelle4[[#This Row],[Key]],'3. Unique Results'!A:X,11,FALSE)</f>
        <v>2020</v>
      </c>
      <c r="L15">
        <f>VLOOKUP(Tabelle4[[#This Row],[Key]],'3. Unique Results'!A:X,12,FALSE)</f>
        <v>44887.363807870373</v>
      </c>
      <c r="M15" s="17">
        <f>VLOOKUP(Tabelle4[[#This Row],[Key]],'3. Unique Results'!A:X,13,FALSE)</f>
        <v>44887.363807870373</v>
      </c>
      <c r="N15" s="17">
        <f>VLOOKUP(Tabelle4[[#This Row],[Key]],'3. Unique Results'!A:X,14,FALSE)</f>
        <v>0</v>
      </c>
      <c r="O15" t="str">
        <f>VLOOKUP(Tabelle4[[#This Row],[Key]],'3. Unique Results'!A:X,15,FALSE)</f>
        <v>87-94</v>
      </c>
      <c r="P15" t="str">
        <f>VLOOKUP(Tabelle4[[#This Row],[Key]],'3. Unique Results'!A:X,16,FALSE)</f>
        <v/>
      </c>
      <c r="Q15" t="str">
        <f>VLOOKUP(Tabelle4[[#This Row],[Key]],'3. Unique Results'!A:X,17,FALSE)</f>
        <v/>
      </c>
      <c r="R15" t="str">
        <f>VLOOKUP(Tabelle4[[#This Row],[Key]],'3. Unique Results'!A:X,18,FALSE)</f>
        <v/>
      </c>
      <c r="S15" t="str">
        <f>VLOOKUP(Tabelle4[[#This Row],[Key]],'3. Unique Results'!A:X,19,FALSE)</f>
        <v/>
      </c>
      <c r="T15" t="str">
        <f>VLOOKUP(Tabelle4[[#This Row],[Key]],'3. Unique Results'!A:X,20,FALSE)</f>
        <v/>
      </c>
      <c r="U15" t="str">
        <f>VLOOKUP(Tabelle4[[#This Row],[Key]],'3. Unique Results'!A:X,21,FALSE)</f>
        <v/>
      </c>
      <c r="V15" t="str">
        <f>VLOOKUP(Tabelle4[[#This Row],[Key]],'3. Unique Results'!A:X,22,FALSE)</f>
        <v/>
      </c>
      <c r="W15" t="str">
        <f>VLOOKUP(Tabelle4[[#This Row],[Key]],'3. Unique Results'!A:X,23,FALSE)</f>
        <v/>
      </c>
    </row>
    <row r="16" spans="1:23">
      <c r="A16" t="s">
        <v>5791</v>
      </c>
      <c r="B16" t="str">
        <f>VLOOKUP(Tabelle4[[#This Row],[Key]],'3. Unique Results'!A:X,2,FALSE)</f>
        <v>conferencePaper</v>
      </c>
      <c r="C16">
        <f>VLOOKUP(Tabelle4[[#This Row],[Key]],'3. Unique Results'!A:X,3,FALSE)</f>
        <v>2021</v>
      </c>
      <c r="D16" t="str">
        <f>VLOOKUP(Tabelle4[[#This Row],[Key]],'3. Unique Results'!A:X,4,FALSE)</f>
        <v>Atasoy, Mehmet Emre; Koçyiğit, Altan</v>
      </c>
      <c r="E16" t="str">
        <f>VLOOKUP(Tabelle4[[#This Row],[Key]],'3. Unique Results'!A:X,5,FALSE)</f>
        <v>An Extensible Software Architecture for Intelligent Assistant</v>
      </c>
      <c r="F16" t="str">
        <f>VLOOKUP(Tabelle4[[#This Row],[Key]],'3. Unique Results'!A:X,6,FALSE)</f>
        <v>2021 6th International Conference on Computer Science and Engineering (UBMK)</v>
      </c>
      <c r="G16" t="str">
        <f>VLOOKUP(Tabelle4[[#This Row],[Key]],'3. Unique Results'!A:X,7,FALSE)</f>
        <v/>
      </c>
      <c r="H16" t="str">
        <f>VLOOKUP(Tabelle4[[#This Row],[Key]],'3. Unique Results'!A:X,8,FALSE)</f>
        <v/>
      </c>
      <c r="I16" t="str">
        <f>VLOOKUP(Tabelle4[[#This Row],[Key]],'3. Unique Results'!A:X,9,FALSE)</f>
        <v>10.1109/UBMK52708.2021.9558940</v>
      </c>
      <c r="J16" t="str">
        <f>VLOOKUP(Tabelle4[[#This Row],[Key]],'3. Unique Results'!A:X,10,FALSE)</f>
        <v/>
      </c>
      <c r="K16" t="str">
        <f>VLOOKUP(Tabelle4[[#This Row],[Key]],'3. Unique Results'!A:X,11,FALSE)</f>
        <v>2021</v>
      </c>
      <c r="L16">
        <f>VLOOKUP(Tabelle4[[#This Row],[Key]],'3. Unique Results'!A:X,12,FALSE)</f>
        <v>44887.363807870373</v>
      </c>
      <c r="M16" s="17">
        <f>VLOOKUP(Tabelle4[[#This Row],[Key]],'3. Unique Results'!A:X,13,FALSE)</f>
        <v>44887.363807870373</v>
      </c>
      <c r="N16" s="17">
        <f>VLOOKUP(Tabelle4[[#This Row],[Key]],'3. Unique Results'!A:X,14,FALSE)</f>
        <v>0</v>
      </c>
      <c r="O16" t="str">
        <f>VLOOKUP(Tabelle4[[#This Row],[Key]],'3. Unique Results'!A:X,15,FALSE)</f>
        <v>92-97</v>
      </c>
      <c r="P16" t="str">
        <f>VLOOKUP(Tabelle4[[#This Row],[Key]],'3. Unique Results'!A:X,16,FALSE)</f>
        <v/>
      </c>
      <c r="Q16" t="str">
        <f>VLOOKUP(Tabelle4[[#This Row],[Key]],'3. Unique Results'!A:X,17,FALSE)</f>
        <v/>
      </c>
      <c r="R16" t="str">
        <f>VLOOKUP(Tabelle4[[#This Row],[Key]],'3. Unique Results'!A:X,18,FALSE)</f>
        <v/>
      </c>
      <c r="S16" t="str">
        <f>VLOOKUP(Tabelle4[[#This Row],[Key]],'3. Unique Results'!A:X,19,FALSE)</f>
        <v/>
      </c>
      <c r="T16" t="str">
        <f>VLOOKUP(Tabelle4[[#This Row],[Key]],'3. Unique Results'!A:X,20,FALSE)</f>
        <v/>
      </c>
      <c r="U16" t="str">
        <f>VLOOKUP(Tabelle4[[#This Row],[Key]],'3. Unique Results'!A:X,21,FALSE)</f>
        <v/>
      </c>
      <c r="V16" t="str">
        <f>VLOOKUP(Tabelle4[[#This Row],[Key]],'3. Unique Results'!A:X,22,FALSE)</f>
        <v/>
      </c>
      <c r="W16" t="str">
        <f>VLOOKUP(Tabelle4[[#This Row],[Key]],'3. Unique Results'!A:X,23,FALSE)</f>
        <v/>
      </c>
    </row>
    <row r="17" spans="1:23">
      <c r="A17" t="s">
        <v>4438</v>
      </c>
      <c r="B17" t="str">
        <f>VLOOKUP(Tabelle4[[#This Row],[Key]],'3. Unique Results'!A:X,2,FALSE)</f>
        <v>conferencePaper</v>
      </c>
      <c r="C17">
        <f>VLOOKUP(Tabelle4[[#This Row],[Key]],'3. Unique Results'!A:X,3,FALSE)</f>
        <v>2014</v>
      </c>
      <c r="D17" t="str">
        <f>VLOOKUP(Tabelle4[[#This Row],[Key]],'3. Unique Results'!A:X,4,FALSE)</f>
        <v>Lechevalier, David; Narayanan, Anantha; Rachuri, Sudarsan</v>
      </c>
      <c r="E17" t="str">
        <f>VLOOKUP(Tabelle4[[#This Row],[Key]],'3. Unique Results'!A:X,5,FALSE)</f>
        <v>Towards a domain-specific framework for predictive analytics in manufacturing</v>
      </c>
      <c r="F17" t="str">
        <f>VLOOKUP(Tabelle4[[#This Row],[Key]],'3. Unique Results'!A:X,6,FALSE)</f>
        <v>2014 IEEE International Conference on Big Data (Big Data)</v>
      </c>
      <c r="G17" t="str">
        <f>VLOOKUP(Tabelle4[[#This Row],[Key]],'3. Unique Results'!A:X,7,FALSE)</f>
        <v/>
      </c>
      <c r="H17" t="str">
        <f>VLOOKUP(Tabelle4[[#This Row],[Key]],'3. Unique Results'!A:X,8,FALSE)</f>
        <v/>
      </c>
      <c r="I17" t="str">
        <f>VLOOKUP(Tabelle4[[#This Row],[Key]],'3. Unique Results'!A:X,9,FALSE)</f>
        <v>10.1109/BigData.2014.7004332</v>
      </c>
      <c r="J17" t="str">
        <f>VLOOKUP(Tabelle4[[#This Row],[Key]],'3. Unique Results'!A:X,10,FALSE)</f>
        <v/>
      </c>
      <c r="K17" t="str">
        <f>VLOOKUP(Tabelle4[[#This Row],[Key]],'3. Unique Results'!A:X,11,FALSE)</f>
        <v>2014</v>
      </c>
      <c r="L17">
        <f>VLOOKUP(Tabelle4[[#This Row],[Key]],'3. Unique Results'!A:X,12,FALSE)</f>
        <v>44887.363807870373</v>
      </c>
      <c r="M17" s="17">
        <f>VLOOKUP(Tabelle4[[#This Row],[Key]],'3. Unique Results'!A:X,13,FALSE)</f>
        <v>44887.363807870373</v>
      </c>
      <c r="N17" s="17">
        <f>VLOOKUP(Tabelle4[[#This Row],[Key]],'3. Unique Results'!A:X,14,FALSE)</f>
        <v>0</v>
      </c>
      <c r="O17" t="str">
        <f>VLOOKUP(Tabelle4[[#This Row],[Key]],'3. Unique Results'!A:X,15,FALSE)</f>
        <v>987-995</v>
      </c>
      <c r="P17" t="str">
        <f>VLOOKUP(Tabelle4[[#This Row],[Key]],'3. Unique Results'!A:X,16,FALSE)</f>
        <v/>
      </c>
      <c r="Q17" t="str">
        <f>VLOOKUP(Tabelle4[[#This Row],[Key]],'3. Unique Results'!A:X,17,FALSE)</f>
        <v/>
      </c>
      <c r="R17" t="str">
        <f>VLOOKUP(Tabelle4[[#This Row],[Key]],'3. Unique Results'!A:X,18,FALSE)</f>
        <v/>
      </c>
      <c r="S17" t="str">
        <f>VLOOKUP(Tabelle4[[#This Row],[Key]],'3. Unique Results'!A:X,19,FALSE)</f>
        <v/>
      </c>
      <c r="T17" t="str">
        <f>VLOOKUP(Tabelle4[[#This Row],[Key]],'3. Unique Results'!A:X,20,FALSE)</f>
        <v/>
      </c>
      <c r="U17" t="str">
        <f>VLOOKUP(Tabelle4[[#This Row],[Key]],'3. Unique Results'!A:X,21,FALSE)</f>
        <v/>
      </c>
      <c r="V17" t="str">
        <f>VLOOKUP(Tabelle4[[#This Row],[Key]],'3. Unique Results'!A:X,22,FALSE)</f>
        <v/>
      </c>
      <c r="W17" t="str">
        <f>VLOOKUP(Tabelle4[[#This Row],[Key]],'3. Unique Results'!A:X,23,FALSE)</f>
        <v/>
      </c>
    </row>
    <row r="18" spans="1:23">
      <c r="A18" t="s">
        <v>5792</v>
      </c>
      <c r="B18" t="str">
        <f>VLOOKUP(Tabelle4[[#This Row],[Key]],'3. Unique Results'!A:X,2,FALSE)</f>
        <v>conferencePaper</v>
      </c>
      <c r="C18">
        <f>VLOOKUP(Tabelle4[[#This Row],[Key]],'3. Unique Results'!A:X,3,FALSE)</f>
        <v>2020</v>
      </c>
      <c r="D18" t="str">
        <f>VLOOKUP(Tabelle4[[#This Row],[Key]],'3. Unique Results'!A:X,4,FALSE)</f>
        <v>Shim, Simon; Patil, Pradnyesh; Yadav, Rajiv Ramesh; Shinde, Anurag; Devale, Venkatesh</v>
      </c>
      <c r="E18" t="str">
        <f>VLOOKUP(Tabelle4[[#This Row],[Key]],'3. Unique Results'!A:X,5,FALSE)</f>
        <v>DeeperCoder: Code Generation Using Machine Learning</v>
      </c>
      <c r="F18" t="str">
        <f>VLOOKUP(Tabelle4[[#This Row],[Key]],'3. Unique Results'!A:X,6,FALSE)</f>
        <v>2020 10th Annual Computing and Communication Workshop and Conference (CCWC)</v>
      </c>
      <c r="G18" t="str">
        <f>VLOOKUP(Tabelle4[[#This Row],[Key]],'3. Unique Results'!A:X,7,FALSE)</f>
        <v/>
      </c>
      <c r="H18" t="str">
        <f>VLOOKUP(Tabelle4[[#This Row],[Key]],'3. Unique Results'!A:X,8,FALSE)</f>
        <v/>
      </c>
      <c r="I18" t="str">
        <f>VLOOKUP(Tabelle4[[#This Row],[Key]],'3. Unique Results'!A:X,9,FALSE)</f>
        <v>10.1109/CCWC47524.2020.9031149</v>
      </c>
      <c r="J18" t="str">
        <f>VLOOKUP(Tabelle4[[#This Row],[Key]],'3. Unique Results'!A:X,10,FALSE)</f>
        <v/>
      </c>
      <c r="K18" t="str">
        <f>VLOOKUP(Tabelle4[[#This Row],[Key]],'3. Unique Results'!A:X,11,FALSE)</f>
        <v>2020</v>
      </c>
      <c r="L18">
        <f>VLOOKUP(Tabelle4[[#This Row],[Key]],'3. Unique Results'!A:X,12,FALSE)</f>
        <v>44887.363807870373</v>
      </c>
      <c r="M18" s="17">
        <f>VLOOKUP(Tabelle4[[#This Row],[Key]],'3. Unique Results'!A:X,13,FALSE)</f>
        <v>44887.363807870373</v>
      </c>
      <c r="N18" s="17">
        <f>VLOOKUP(Tabelle4[[#This Row],[Key]],'3. Unique Results'!A:X,14,FALSE)</f>
        <v>0</v>
      </c>
      <c r="O18" t="str">
        <f>VLOOKUP(Tabelle4[[#This Row],[Key]],'3. Unique Results'!A:X,15,FALSE)</f>
        <v>0194-0199</v>
      </c>
      <c r="P18" t="str">
        <f>VLOOKUP(Tabelle4[[#This Row],[Key]],'3. Unique Results'!A:X,16,FALSE)</f>
        <v/>
      </c>
      <c r="Q18" t="str">
        <f>VLOOKUP(Tabelle4[[#This Row],[Key]],'3. Unique Results'!A:X,17,FALSE)</f>
        <v/>
      </c>
      <c r="R18" t="str">
        <f>VLOOKUP(Tabelle4[[#This Row],[Key]],'3. Unique Results'!A:X,18,FALSE)</f>
        <v/>
      </c>
      <c r="S18" t="str">
        <f>VLOOKUP(Tabelle4[[#This Row],[Key]],'3. Unique Results'!A:X,19,FALSE)</f>
        <v/>
      </c>
      <c r="T18" t="str">
        <f>VLOOKUP(Tabelle4[[#This Row],[Key]],'3. Unique Results'!A:X,20,FALSE)</f>
        <v/>
      </c>
      <c r="U18" t="str">
        <f>VLOOKUP(Tabelle4[[#This Row],[Key]],'3. Unique Results'!A:X,21,FALSE)</f>
        <v/>
      </c>
      <c r="V18" t="str">
        <f>VLOOKUP(Tabelle4[[#This Row],[Key]],'3. Unique Results'!A:X,22,FALSE)</f>
        <v/>
      </c>
      <c r="W18" t="str">
        <f>VLOOKUP(Tabelle4[[#This Row],[Key]],'3. Unique Results'!A:X,23,FALSE)</f>
        <v/>
      </c>
    </row>
    <row r="19" spans="1:23">
      <c r="A19" t="s">
        <v>4439</v>
      </c>
      <c r="B19" t="str">
        <f>VLOOKUP(Tabelle4[[#This Row],[Key]],'3. Unique Results'!A:X,2,FALSE)</f>
        <v>conferencePaper</v>
      </c>
      <c r="C19">
        <f>VLOOKUP(Tabelle4[[#This Row],[Key]],'3. Unique Results'!A:X,3,FALSE)</f>
        <v>2019</v>
      </c>
      <c r="D19" t="str">
        <f>VLOOKUP(Tabelle4[[#This Row],[Key]],'3. Unique Results'!A:X,4,FALSE)</f>
        <v>Bhattacharjee, Anirban; Barve, Yogesh; Khare, Shweta; Bao, Shunxing; Kang, Zhuangwei; Gokhale, Aniruddha; Damiano, Thomas</v>
      </c>
      <c r="E19" t="str">
        <f>VLOOKUP(Tabelle4[[#This Row],[Key]],'3. Unique Results'!A:X,5,FALSE)</f>
        <v>STRATUM: A BigData-as-a-Service for Lifecycle Management of IoT Analytics Applications</v>
      </c>
      <c r="F19" t="str">
        <f>VLOOKUP(Tabelle4[[#This Row],[Key]],'3. Unique Results'!A:X,6,FALSE)</f>
        <v>2019 IEEE International Conference on Big Data (Big Data)</v>
      </c>
      <c r="G19" t="str">
        <f>VLOOKUP(Tabelle4[[#This Row],[Key]],'3. Unique Results'!A:X,7,FALSE)</f>
        <v/>
      </c>
      <c r="H19" t="str">
        <f>VLOOKUP(Tabelle4[[#This Row],[Key]],'3. Unique Results'!A:X,8,FALSE)</f>
        <v/>
      </c>
      <c r="I19" t="str">
        <f>VLOOKUP(Tabelle4[[#This Row],[Key]],'3. Unique Results'!A:X,9,FALSE)</f>
        <v>10.1109/BigData47090.2019.9006518</v>
      </c>
      <c r="J19" t="str">
        <f>VLOOKUP(Tabelle4[[#This Row],[Key]],'3. Unique Results'!A:X,10,FALSE)</f>
        <v/>
      </c>
      <c r="K19" t="str">
        <f>VLOOKUP(Tabelle4[[#This Row],[Key]],'3. Unique Results'!A:X,11,FALSE)</f>
        <v>2019</v>
      </c>
      <c r="L19">
        <f>VLOOKUP(Tabelle4[[#This Row],[Key]],'3. Unique Results'!A:X,12,FALSE)</f>
        <v>44887.363807870373</v>
      </c>
      <c r="M19" s="17">
        <f>VLOOKUP(Tabelle4[[#This Row],[Key]],'3. Unique Results'!A:X,13,FALSE)</f>
        <v>44887.363807870373</v>
      </c>
      <c r="N19" s="17">
        <f>VLOOKUP(Tabelle4[[#This Row],[Key]],'3. Unique Results'!A:X,14,FALSE)</f>
        <v>0</v>
      </c>
      <c r="O19" t="str">
        <f>VLOOKUP(Tabelle4[[#This Row],[Key]],'3. Unique Results'!A:X,15,FALSE)</f>
        <v>1607-1612</v>
      </c>
      <c r="P19" t="str">
        <f>VLOOKUP(Tabelle4[[#This Row],[Key]],'3. Unique Results'!A:X,16,FALSE)</f>
        <v/>
      </c>
      <c r="Q19" t="str">
        <f>VLOOKUP(Tabelle4[[#This Row],[Key]],'3. Unique Results'!A:X,17,FALSE)</f>
        <v/>
      </c>
      <c r="R19" t="str">
        <f>VLOOKUP(Tabelle4[[#This Row],[Key]],'3. Unique Results'!A:X,18,FALSE)</f>
        <v/>
      </c>
      <c r="S19" t="str">
        <f>VLOOKUP(Tabelle4[[#This Row],[Key]],'3. Unique Results'!A:X,19,FALSE)</f>
        <v/>
      </c>
      <c r="T19" t="str">
        <f>VLOOKUP(Tabelle4[[#This Row],[Key]],'3. Unique Results'!A:X,20,FALSE)</f>
        <v/>
      </c>
      <c r="U19" t="str">
        <f>VLOOKUP(Tabelle4[[#This Row],[Key]],'3. Unique Results'!A:X,21,FALSE)</f>
        <v/>
      </c>
      <c r="V19" t="str">
        <f>VLOOKUP(Tabelle4[[#This Row],[Key]],'3. Unique Results'!A:X,22,FALSE)</f>
        <v/>
      </c>
      <c r="W19" t="str">
        <f>VLOOKUP(Tabelle4[[#This Row],[Key]],'3. Unique Results'!A:X,23,FALSE)</f>
        <v/>
      </c>
    </row>
    <row r="20" spans="1:23">
      <c r="A20" t="s">
        <v>4440</v>
      </c>
      <c r="B20" t="str">
        <f>VLOOKUP(Tabelle4[[#This Row],[Key]],'3. Unique Results'!A:X,2,FALSE)</f>
        <v>journalArticle</v>
      </c>
      <c r="C20">
        <f>VLOOKUP(Tabelle4[[#This Row],[Key]],'3. Unique Results'!A:X,3,FALSE)</f>
        <v>2021</v>
      </c>
      <c r="D20" t="str">
        <f>VLOOKUP(Tabelle4[[#This Row],[Key]],'3. Unique Results'!A:X,4,FALSE)</f>
        <v>Meacham, Sofia; Pech, Vaclav; Nauck, Detlef</v>
      </c>
      <c r="E20" t="str">
        <f>VLOOKUP(Tabelle4[[#This Row],[Key]],'3. Unique Results'!A:X,5,FALSE)</f>
        <v>AdaptiveSystems: An Integrated Framework for Adaptive Systems Design and Development Using MPS JetBrains Domain-Specific Modeling Environment</v>
      </c>
      <c r="F20" t="str">
        <f>VLOOKUP(Tabelle4[[#This Row],[Key]],'3. Unique Results'!A:X,6,FALSE)</f>
        <v>IEEE Access</v>
      </c>
      <c r="G20" t="str">
        <f>VLOOKUP(Tabelle4[[#This Row],[Key]],'3. Unique Results'!A:X,7,FALSE)</f>
        <v/>
      </c>
      <c r="H20" t="str">
        <f>VLOOKUP(Tabelle4[[#This Row],[Key]],'3. Unique Results'!A:X,8,FALSE)</f>
        <v/>
      </c>
      <c r="I20" t="str">
        <f>VLOOKUP(Tabelle4[[#This Row],[Key]],'3. Unique Results'!A:X,9,FALSE)</f>
        <v>10.1109/ACCESS.2021.3111229</v>
      </c>
      <c r="J20" t="str">
        <f>VLOOKUP(Tabelle4[[#This Row],[Key]],'3. Unique Results'!A:X,10,FALSE)</f>
        <v/>
      </c>
      <c r="K20" t="str">
        <f>VLOOKUP(Tabelle4[[#This Row],[Key]],'3. Unique Results'!A:X,11,FALSE)</f>
        <v>2021</v>
      </c>
      <c r="L20">
        <f>VLOOKUP(Tabelle4[[#This Row],[Key]],'3. Unique Results'!A:X,12,FALSE)</f>
        <v>44887.363807870373</v>
      </c>
      <c r="M20" s="17">
        <f>VLOOKUP(Tabelle4[[#This Row],[Key]],'3. Unique Results'!A:X,13,FALSE)</f>
        <v>44887.363807870373</v>
      </c>
      <c r="N20" s="17">
        <f>VLOOKUP(Tabelle4[[#This Row],[Key]],'3. Unique Results'!A:X,14,FALSE)</f>
        <v>0</v>
      </c>
      <c r="O20" t="str">
        <f>VLOOKUP(Tabelle4[[#This Row],[Key]],'3. Unique Results'!A:X,15,FALSE)</f>
        <v>127973-127984</v>
      </c>
      <c r="P20" t="str">
        <f>VLOOKUP(Tabelle4[[#This Row],[Key]],'3. Unique Results'!A:X,16,FALSE)</f>
        <v/>
      </c>
      <c r="Q20" t="str">
        <f>VLOOKUP(Tabelle4[[#This Row],[Key]],'3. Unique Results'!A:X,17,FALSE)</f>
        <v>9</v>
      </c>
      <c r="R20" t="str">
        <f>VLOOKUP(Tabelle4[[#This Row],[Key]],'3. Unique Results'!A:X,18,FALSE)</f>
        <v/>
      </c>
      <c r="S20" t="str">
        <f>VLOOKUP(Tabelle4[[#This Row],[Key]],'3. Unique Results'!A:X,19,FALSE)</f>
        <v/>
      </c>
      <c r="T20" t="str">
        <f>VLOOKUP(Tabelle4[[#This Row],[Key]],'3. Unique Results'!A:X,20,FALSE)</f>
        <v/>
      </c>
      <c r="U20" t="str">
        <f>VLOOKUP(Tabelle4[[#This Row],[Key]],'3. Unique Results'!A:X,21,FALSE)</f>
        <v/>
      </c>
      <c r="V20" t="str">
        <f>VLOOKUP(Tabelle4[[#This Row],[Key]],'3. Unique Results'!A:X,22,FALSE)</f>
        <v/>
      </c>
      <c r="W20" t="str">
        <f>VLOOKUP(Tabelle4[[#This Row],[Key]],'3. Unique Results'!A:X,23,FALSE)</f>
        <v/>
      </c>
    </row>
    <row r="21" spans="1:23">
      <c r="A21" t="s">
        <v>5793</v>
      </c>
      <c r="B21" t="str">
        <f>VLOOKUP(Tabelle4[[#This Row],[Key]],'3. Unique Results'!A:X,2,FALSE)</f>
        <v>journalArticle</v>
      </c>
      <c r="C21">
        <f>VLOOKUP(Tabelle4[[#This Row],[Key]],'3. Unique Results'!A:X,3,FALSE)</f>
        <v>0</v>
      </c>
      <c r="D21" t="str">
        <f>VLOOKUP(Tabelle4[[#This Row],[Key]],'3. Unique Results'!A:X,4,FALSE)</f>
        <v>Fliege, I.; Geraldy, A.; Gotzhein, R.; Kuhn, T.; Webel, C.</v>
      </c>
      <c r="E21" t="str">
        <f>VLOOKUP(Tabelle4[[#This Row],[Key]],'3. Unique Results'!A:X,5,FALSE)</f>
        <v>Model-Driven Engineering of Ambient Intelligence Systems with SDL: Design, Implementation, and Performance Simulation</v>
      </c>
      <c r="F21" t="str">
        <f>VLOOKUP(Tabelle4[[#This Row],[Key]],'3. Unique Results'!A:X,6,FALSE)</f>
        <v>vs.cs.uni-kl.de</v>
      </c>
      <c r="G21" t="str">
        <f>VLOOKUP(Tabelle4[[#This Row],[Key]],'3. Unique Results'!A:X,7,FALSE)</f>
        <v/>
      </c>
      <c r="H21" t="str">
        <f>VLOOKUP(Tabelle4[[#This Row],[Key]],'3. Unique Results'!A:X,8,FALSE)</f>
        <v/>
      </c>
      <c r="I21" t="str">
        <f>VLOOKUP(Tabelle4[[#This Row],[Key]],'3. Unique Results'!A:X,9,FALSE)</f>
        <v/>
      </c>
      <c r="J21" t="str">
        <f>VLOOKUP(Tabelle4[[#This Row],[Key]],'3. Unique Results'!A:X,10,FALSE)</f>
        <v>https://vs.cs.uni-kl.de/publications/2005/FlGeGoKuWe05/TR_MdaAmi.pdf</v>
      </c>
      <c r="K21" t="str">
        <f>VLOOKUP(Tabelle4[[#This Row],[Key]],'3. Unique Results'!A:X,11,FALSE)</f>
        <v/>
      </c>
      <c r="L21">
        <f>VLOOKUP(Tabelle4[[#This Row],[Key]],'3. Unique Results'!A:X,12,FALSE)</f>
        <v>44887.363807870373</v>
      </c>
      <c r="M21" s="17">
        <f>VLOOKUP(Tabelle4[[#This Row],[Key]],'3. Unique Results'!A:X,13,FALSE)</f>
        <v>44887.363807870373</v>
      </c>
      <c r="N21" s="17">
        <f>VLOOKUP(Tabelle4[[#This Row],[Key]],'3. Unique Results'!A:X,14,FALSE)</f>
        <v>0</v>
      </c>
      <c r="O21" t="str">
        <f>VLOOKUP(Tabelle4[[#This Row],[Key]],'3. Unique Results'!A:X,15,FALSE)</f>
        <v/>
      </c>
      <c r="P21" t="str">
        <f>VLOOKUP(Tabelle4[[#This Row],[Key]],'3. Unique Results'!A:X,16,FALSE)</f>
        <v/>
      </c>
      <c r="Q21" t="str">
        <f>VLOOKUP(Tabelle4[[#This Row],[Key]],'3. Unique Results'!A:X,17,FALSE)</f>
        <v/>
      </c>
      <c r="R21" t="str">
        <f>VLOOKUP(Tabelle4[[#This Row],[Key]],'3. Unique Results'!A:X,18,FALSE)</f>
        <v/>
      </c>
      <c r="S21" t="str">
        <f>VLOOKUP(Tabelle4[[#This Row],[Key]],'3. Unique Results'!A:X,19,FALSE)</f>
        <v/>
      </c>
      <c r="T21" t="str">
        <f>VLOOKUP(Tabelle4[[#This Row],[Key]],'3. Unique Results'!A:X,20,FALSE)</f>
        <v/>
      </c>
      <c r="U21" t="str">
        <f>VLOOKUP(Tabelle4[[#This Row],[Key]],'3. Unique Results'!A:X,21,FALSE)</f>
        <v/>
      </c>
      <c r="V21" t="str">
        <f>VLOOKUP(Tabelle4[[#This Row],[Key]],'3. Unique Results'!A:X,22,FALSE)</f>
        <v/>
      </c>
      <c r="W21" t="str">
        <f>VLOOKUP(Tabelle4[[#This Row],[Key]],'3. Unique Results'!A:X,23,FALSE)</f>
        <v/>
      </c>
    </row>
    <row r="22" spans="1:23">
      <c r="A22" t="s">
        <v>5794</v>
      </c>
      <c r="B22" t="str">
        <f>VLOOKUP(Tabelle4[[#This Row],[Key]],'3. Unique Results'!A:X,2,FALSE)</f>
        <v>journalArticle</v>
      </c>
      <c r="C22">
        <f>VLOOKUP(Tabelle4[[#This Row],[Key]],'3. Unique Results'!A:X,3,FALSE)</f>
        <v>0</v>
      </c>
      <c r="D22" t="str">
        <f>VLOOKUP(Tabelle4[[#This Row],[Key]],'3. Unique Results'!A:X,4,FALSE)</f>
        <v>Siegmund, I. N.; Stein, B.</v>
      </c>
      <c r="E22" t="str">
        <f>VLOOKUP(Tabelle4[[#This Row],[Key]],'3. Unique Results'!A:X,5,FALSE)</f>
        <v>DEVELOPING A DOMAIN SPECIFIC LANGUAGE FOR THE EVOLVING FIELD OF MACHINE LEARNING</v>
      </c>
      <c r="F22" t="str">
        <f>VLOOKUP(Tabelle4[[#This Row],[Key]],'3. Unique Results'!A:X,6,FALSE)</f>
        <v>uni-weimar.de</v>
      </c>
      <c r="G22" t="str">
        <f>VLOOKUP(Tabelle4[[#This Row],[Key]],'3. Unique Results'!A:X,7,FALSE)</f>
        <v/>
      </c>
      <c r="H22" t="str">
        <f>VLOOKUP(Tabelle4[[#This Row],[Key]],'3. Unique Results'!A:X,8,FALSE)</f>
        <v/>
      </c>
      <c r="I22" t="str">
        <f>VLOOKUP(Tabelle4[[#This Row],[Key]],'3. Unique Results'!A:X,9,FALSE)</f>
        <v/>
      </c>
      <c r="J22" t="str">
        <f>VLOOKUP(Tabelle4[[#This Row],[Key]],'3. Unique Results'!A:X,10,FALSE)</f>
        <v>https://www.uni-weimar.de/fileadmin/user/fak/medien/professuren/Intelligente_Softwaresysteme/Theses/thesis_solbach.pdf</v>
      </c>
      <c r="K22" t="str">
        <f>VLOOKUP(Tabelle4[[#This Row],[Key]],'3. Unique Results'!A:X,11,FALSE)</f>
        <v/>
      </c>
      <c r="L22">
        <f>VLOOKUP(Tabelle4[[#This Row],[Key]],'3. Unique Results'!A:X,12,FALSE)</f>
        <v>44887.363807870373</v>
      </c>
      <c r="M22" s="17">
        <f>VLOOKUP(Tabelle4[[#This Row],[Key]],'3. Unique Results'!A:X,13,FALSE)</f>
        <v>44887.363807870373</v>
      </c>
      <c r="N22" s="17">
        <f>VLOOKUP(Tabelle4[[#This Row],[Key]],'3. Unique Results'!A:X,14,FALSE)</f>
        <v>0</v>
      </c>
      <c r="O22" t="str">
        <f>VLOOKUP(Tabelle4[[#This Row],[Key]],'3. Unique Results'!A:X,15,FALSE)</f>
        <v/>
      </c>
      <c r="P22" t="str">
        <f>VLOOKUP(Tabelle4[[#This Row],[Key]],'3. Unique Results'!A:X,16,FALSE)</f>
        <v/>
      </c>
      <c r="Q22" t="str">
        <f>VLOOKUP(Tabelle4[[#This Row],[Key]],'3. Unique Results'!A:X,17,FALSE)</f>
        <v/>
      </c>
      <c r="R22" t="str">
        <f>VLOOKUP(Tabelle4[[#This Row],[Key]],'3. Unique Results'!A:X,18,FALSE)</f>
        <v/>
      </c>
      <c r="S22" t="str">
        <f>VLOOKUP(Tabelle4[[#This Row],[Key]],'3. Unique Results'!A:X,19,FALSE)</f>
        <v/>
      </c>
      <c r="T22" t="str">
        <f>VLOOKUP(Tabelle4[[#This Row],[Key]],'3. Unique Results'!A:X,20,FALSE)</f>
        <v/>
      </c>
      <c r="U22" t="str">
        <f>VLOOKUP(Tabelle4[[#This Row],[Key]],'3. Unique Results'!A:X,21,FALSE)</f>
        <v/>
      </c>
      <c r="V22" t="str">
        <f>VLOOKUP(Tabelle4[[#This Row],[Key]],'3. Unique Results'!A:X,22,FALSE)</f>
        <v/>
      </c>
      <c r="W22" t="str">
        <f>VLOOKUP(Tabelle4[[#This Row],[Key]],'3. Unique Results'!A:X,23,FALSE)</f>
        <v/>
      </c>
    </row>
    <row r="23" spans="1:23">
      <c r="A23" t="s">
        <v>4441</v>
      </c>
      <c r="B23" t="str">
        <f>VLOOKUP(Tabelle4[[#This Row],[Key]],'3. Unique Results'!A:X,2,FALSE)</f>
        <v>conferencePaper</v>
      </c>
      <c r="C23">
        <f>VLOOKUP(Tabelle4[[#This Row],[Key]],'3. Unique Results'!A:X,3,FALSE)</f>
        <v>2019</v>
      </c>
      <c r="D23" t="str">
        <f>VLOOKUP(Tabelle4[[#This Row],[Key]],'3. Unique Results'!A:X,4,FALSE)</f>
        <v>Hartmann, Thomas; Moawad, Assaad; Schockaert, Cedric; Fouquet, Francois; Le Traon, Yves</v>
      </c>
      <c r="E23" t="str">
        <f>VLOOKUP(Tabelle4[[#This Row],[Key]],'3. Unique Results'!A:X,5,FALSE)</f>
        <v>Meta-Modelling Meta-Learning</v>
      </c>
      <c r="F23" t="str">
        <f>VLOOKUP(Tabelle4[[#This Row],[Key]],'3. Unique Results'!A:X,6,FALSE)</f>
        <v>2019 ACM/IEEE 22nd International Conference on Model Driven Engineering Languages and Systems (MODELS)</v>
      </c>
      <c r="G23" t="str">
        <f>VLOOKUP(Tabelle4[[#This Row],[Key]],'3. Unique Results'!A:X,7,FALSE)</f>
        <v/>
      </c>
      <c r="H23" t="str">
        <f>VLOOKUP(Tabelle4[[#This Row],[Key]],'3. Unique Results'!A:X,8,FALSE)</f>
        <v/>
      </c>
      <c r="I23" t="str">
        <f>VLOOKUP(Tabelle4[[#This Row],[Key]],'3. Unique Results'!A:X,9,FALSE)</f>
        <v>10.1109/MODELS.2019.00014</v>
      </c>
      <c r="J23" t="str">
        <f>VLOOKUP(Tabelle4[[#This Row],[Key]],'3. Unique Results'!A:X,10,FALSE)</f>
        <v/>
      </c>
      <c r="K23" t="str">
        <f>VLOOKUP(Tabelle4[[#This Row],[Key]],'3. Unique Results'!A:X,11,FALSE)</f>
        <v>2019</v>
      </c>
      <c r="L23">
        <f>VLOOKUP(Tabelle4[[#This Row],[Key]],'3. Unique Results'!A:X,12,FALSE)</f>
        <v>44887.363807870373</v>
      </c>
      <c r="M23" s="17">
        <f>VLOOKUP(Tabelle4[[#This Row],[Key]],'3. Unique Results'!A:X,13,FALSE)</f>
        <v>44887.363807870373</v>
      </c>
      <c r="N23" s="17">
        <f>VLOOKUP(Tabelle4[[#This Row],[Key]],'3. Unique Results'!A:X,14,FALSE)</f>
        <v>0</v>
      </c>
      <c r="O23" t="str">
        <f>VLOOKUP(Tabelle4[[#This Row],[Key]],'3. Unique Results'!A:X,15,FALSE)</f>
        <v>300-305</v>
      </c>
      <c r="P23" t="str">
        <f>VLOOKUP(Tabelle4[[#This Row],[Key]],'3. Unique Results'!A:X,16,FALSE)</f>
        <v/>
      </c>
      <c r="Q23" t="str">
        <f>VLOOKUP(Tabelle4[[#This Row],[Key]],'3. Unique Results'!A:X,17,FALSE)</f>
        <v/>
      </c>
      <c r="R23" t="str">
        <f>VLOOKUP(Tabelle4[[#This Row],[Key]],'3. Unique Results'!A:X,18,FALSE)</f>
        <v/>
      </c>
      <c r="S23" t="str">
        <f>VLOOKUP(Tabelle4[[#This Row],[Key]],'3. Unique Results'!A:X,19,FALSE)</f>
        <v/>
      </c>
      <c r="T23" t="str">
        <f>VLOOKUP(Tabelle4[[#This Row],[Key]],'3. Unique Results'!A:X,20,FALSE)</f>
        <v/>
      </c>
      <c r="U23" t="str">
        <f>VLOOKUP(Tabelle4[[#This Row],[Key]],'3. Unique Results'!A:X,21,FALSE)</f>
        <v/>
      </c>
      <c r="V23" t="str">
        <f>VLOOKUP(Tabelle4[[#This Row],[Key]],'3. Unique Results'!A:X,22,FALSE)</f>
        <v/>
      </c>
      <c r="W23" t="str">
        <f>VLOOKUP(Tabelle4[[#This Row],[Key]],'3. Unique Results'!A:X,23,FALSE)</f>
        <v/>
      </c>
    </row>
    <row r="24" spans="1:23">
      <c r="A24" t="s">
        <v>5795</v>
      </c>
      <c r="B24" t="str">
        <f>VLOOKUP(Tabelle4[[#This Row],[Key]],'3. Unique Results'!A:X,2,FALSE)</f>
        <v>journalArticle</v>
      </c>
      <c r="C24">
        <f>VLOOKUP(Tabelle4[[#This Row],[Key]],'3. Unique Results'!A:X,3,FALSE)</f>
        <v>2007</v>
      </c>
      <c r="D24" t="str">
        <f>VLOOKUP(Tabelle4[[#This Row],[Key]],'3. Unique Results'!A:X,4,FALSE)</f>
        <v>Djuric, Dragan; Devedzic, Vladan; Gasevic, Dragan</v>
      </c>
      <c r="E24" t="str">
        <f>VLOOKUP(Tabelle4[[#This Row],[Key]],'3. Unique Results'!A:X,5,FALSE)</f>
        <v>Adopting Software Engineering Trends in AI</v>
      </c>
      <c r="F24" t="str">
        <f>VLOOKUP(Tabelle4[[#This Row],[Key]],'3. Unique Results'!A:X,6,FALSE)</f>
        <v>IEEE Intelligent Systems</v>
      </c>
      <c r="G24" t="str">
        <f>VLOOKUP(Tabelle4[[#This Row],[Key]],'3. Unique Results'!A:X,7,FALSE)</f>
        <v/>
      </c>
      <c r="H24" t="str">
        <f>VLOOKUP(Tabelle4[[#This Row],[Key]],'3. Unique Results'!A:X,8,FALSE)</f>
        <v/>
      </c>
      <c r="I24" t="str">
        <f>VLOOKUP(Tabelle4[[#This Row],[Key]],'3. Unique Results'!A:X,9,FALSE)</f>
        <v>10.1109/MIS.2007.2</v>
      </c>
      <c r="J24" t="str">
        <f>VLOOKUP(Tabelle4[[#This Row],[Key]],'3. Unique Results'!A:X,10,FALSE)</f>
        <v/>
      </c>
      <c r="K24" t="str">
        <f>VLOOKUP(Tabelle4[[#This Row],[Key]],'3. Unique Results'!A:X,11,FALSE)</f>
        <v>2007</v>
      </c>
      <c r="L24">
        <f>VLOOKUP(Tabelle4[[#This Row],[Key]],'3. Unique Results'!A:X,12,FALSE)</f>
        <v>44887.363807870373</v>
      </c>
      <c r="M24" s="17">
        <f>VLOOKUP(Tabelle4[[#This Row],[Key]],'3. Unique Results'!A:X,13,FALSE)</f>
        <v>44887.363807870373</v>
      </c>
      <c r="N24" s="17">
        <f>VLOOKUP(Tabelle4[[#This Row],[Key]],'3. Unique Results'!A:X,14,FALSE)</f>
        <v>0</v>
      </c>
      <c r="O24" t="str">
        <f>VLOOKUP(Tabelle4[[#This Row],[Key]],'3. Unique Results'!A:X,15,FALSE)</f>
        <v>59-66</v>
      </c>
      <c r="P24" t="str">
        <f>VLOOKUP(Tabelle4[[#This Row],[Key]],'3. Unique Results'!A:X,16,FALSE)</f>
        <v>1</v>
      </c>
      <c r="Q24" t="str">
        <f>VLOOKUP(Tabelle4[[#This Row],[Key]],'3. Unique Results'!A:X,17,FALSE)</f>
        <v>22</v>
      </c>
      <c r="R24" t="str">
        <f>VLOOKUP(Tabelle4[[#This Row],[Key]],'3. Unique Results'!A:X,18,FALSE)</f>
        <v/>
      </c>
      <c r="S24" t="str">
        <f>VLOOKUP(Tabelle4[[#This Row],[Key]],'3. Unique Results'!A:X,19,FALSE)</f>
        <v/>
      </c>
      <c r="T24" t="str">
        <f>VLOOKUP(Tabelle4[[#This Row],[Key]],'3. Unique Results'!A:X,20,FALSE)</f>
        <v/>
      </c>
      <c r="U24" t="str">
        <f>VLOOKUP(Tabelle4[[#This Row],[Key]],'3. Unique Results'!A:X,21,FALSE)</f>
        <v/>
      </c>
      <c r="V24" t="str">
        <f>VLOOKUP(Tabelle4[[#This Row],[Key]],'3. Unique Results'!A:X,22,FALSE)</f>
        <v/>
      </c>
      <c r="W24" t="str">
        <f>VLOOKUP(Tabelle4[[#This Row],[Key]],'3. Unique Results'!A:X,23,FALSE)</f>
        <v/>
      </c>
    </row>
    <row r="25" spans="1:23">
      <c r="A25" t="s">
        <v>4442</v>
      </c>
      <c r="B25" t="str">
        <f>VLOOKUP(Tabelle4[[#This Row],[Key]],'3. Unique Results'!A:X,2,FALSE)</f>
        <v>conferencePaper</v>
      </c>
      <c r="C25">
        <f>VLOOKUP(Tabelle4[[#This Row],[Key]],'3. Unique Results'!A:X,3,FALSE)</f>
        <v>2021</v>
      </c>
      <c r="D25" t="str">
        <f>VLOOKUP(Tabelle4[[#This Row],[Key]],'3. Unique Results'!A:X,4,FALSE)</f>
        <v>Eramo, Romina; Muttillo, Vittoriano; Berardinelli, Luca; Bruneliere, Hugo; Gomez, Abel; Bagnato, Alessandra; Sadovykh, Andrey; Cicchetti, Antonio</v>
      </c>
      <c r="E25" t="str">
        <f>VLOOKUP(Tabelle4[[#This Row],[Key]],'3. Unique Results'!A:X,5,FALSE)</f>
        <v>AIDOaRt: AI-augmented Automation for DevOps, a Model-based Framework for Continuous Development in Cyber-Physical Systems</v>
      </c>
      <c r="F25" t="str">
        <f>VLOOKUP(Tabelle4[[#This Row],[Key]],'3. Unique Results'!A:X,6,FALSE)</f>
        <v>2021 24th Euromicro Conference on Digital System Design (DSD)</v>
      </c>
      <c r="G25" t="str">
        <f>VLOOKUP(Tabelle4[[#This Row],[Key]],'3. Unique Results'!A:X,7,FALSE)</f>
        <v/>
      </c>
      <c r="H25" t="str">
        <f>VLOOKUP(Tabelle4[[#This Row],[Key]],'3. Unique Results'!A:X,8,FALSE)</f>
        <v/>
      </c>
      <c r="I25" t="str">
        <f>VLOOKUP(Tabelle4[[#This Row],[Key]],'3. Unique Results'!A:X,9,FALSE)</f>
        <v>10.1109/DSD53832.2021.00053</v>
      </c>
      <c r="J25" t="str">
        <f>VLOOKUP(Tabelle4[[#This Row],[Key]],'3. Unique Results'!A:X,10,FALSE)</f>
        <v/>
      </c>
      <c r="K25" t="str">
        <f>VLOOKUP(Tabelle4[[#This Row],[Key]],'3. Unique Results'!A:X,11,FALSE)</f>
        <v>2021</v>
      </c>
      <c r="L25">
        <f>VLOOKUP(Tabelle4[[#This Row],[Key]],'3. Unique Results'!A:X,12,FALSE)</f>
        <v>44887.363807870373</v>
      </c>
      <c r="M25" s="17">
        <f>VLOOKUP(Tabelle4[[#This Row],[Key]],'3. Unique Results'!A:X,13,FALSE)</f>
        <v>44887.363807870373</v>
      </c>
      <c r="N25" s="17">
        <f>VLOOKUP(Tabelle4[[#This Row],[Key]],'3. Unique Results'!A:X,14,FALSE)</f>
        <v>0</v>
      </c>
      <c r="O25" t="str">
        <f>VLOOKUP(Tabelle4[[#This Row],[Key]],'3. Unique Results'!A:X,15,FALSE)</f>
        <v>303-310</v>
      </c>
      <c r="P25" t="str">
        <f>VLOOKUP(Tabelle4[[#This Row],[Key]],'3. Unique Results'!A:X,16,FALSE)</f>
        <v/>
      </c>
      <c r="Q25" t="str">
        <f>VLOOKUP(Tabelle4[[#This Row],[Key]],'3. Unique Results'!A:X,17,FALSE)</f>
        <v/>
      </c>
      <c r="R25" t="str">
        <f>VLOOKUP(Tabelle4[[#This Row],[Key]],'3. Unique Results'!A:X,18,FALSE)</f>
        <v/>
      </c>
      <c r="S25" t="str">
        <f>VLOOKUP(Tabelle4[[#This Row],[Key]],'3. Unique Results'!A:X,19,FALSE)</f>
        <v/>
      </c>
      <c r="T25" t="str">
        <f>VLOOKUP(Tabelle4[[#This Row],[Key]],'3. Unique Results'!A:X,20,FALSE)</f>
        <v/>
      </c>
      <c r="U25" t="str">
        <f>VLOOKUP(Tabelle4[[#This Row],[Key]],'3. Unique Results'!A:X,21,FALSE)</f>
        <v/>
      </c>
      <c r="V25" t="str">
        <f>VLOOKUP(Tabelle4[[#This Row],[Key]],'3. Unique Results'!A:X,22,FALSE)</f>
        <v/>
      </c>
      <c r="W25" t="str">
        <f>VLOOKUP(Tabelle4[[#This Row],[Key]],'3. Unique Results'!A:X,23,FALSE)</f>
        <v/>
      </c>
    </row>
    <row r="26" spans="1:23">
      <c r="A26" t="s">
        <v>5796</v>
      </c>
      <c r="B26" t="str">
        <f>VLOOKUP(Tabelle4[[#This Row],[Key]],'3. Unique Results'!A:X,2,FALSE)</f>
        <v>book</v>
      </c>
      <c r="C26">
        <f>VLOOKUP(Tabelle4[[#This Row],[Key]],'3. Unique Results'!A:X,3,FALSE)</f>
        <v>2014</v>
      </c>
      <c r="D26" t="str">
        <f>VLOOKUP(Tabelle4[[#This Row],[Key]],'3. Unique Results'!A:X,4,FALSE)</f>
        <v>Grech, J. P.</v>
      </c>
      <c r="E26" t="str">
        <f>VLOOKUP(Tabelle4[[#This Row],[Key]],'3. Unique Results'!A:X,5,FALSE)</f>
        <v>A DSL for business intelligence monitoring</v>
      </c>
      <c r="F26" t="str">
        <f>VLOOKUP(Tabelle4[[#This Row],[Key]],'3. Unique Results'!A:X,6,FALSE)</f>
        <v/>
      </c>
      <c r="G26" t="str">
        <f>VLOOKUP(Tabelle4[[#This Row],[Key]],'3. Unique Results'!A:X,7,FALSE)</f>
        <v/>
      </c>
      <c r="H26" t="str">
        <f>VLOOKUP(Tabelle4[[#This Row],[Key]],'3. Unique Results'!A:X,8,FALSE)</f>
        <v/>
      </c>
      <c r="I26" t="str">
        <f>VLOOKUP(Tabelle4[[#This Row],[Key]],'3. Unique Results'!A:X,9,FALSE)</f>
        <v/>
      </c>
      <c r="J26" t="str">
        <f>VLOOKUP(Tabelle4[[#This Row],[Key]],'3. Unique Results'!A:X,10,FALSE)</f>
        <v>https://www.um.edu.mt/library/oar/handle/123456789/91375</v>
      </c>
      <c r="K26" t="str">
        <f>VLOOKUP(Tabelle4[[#This Row],[Key]],'3. Unique Results'!A:X,11,FALSE)</f>
        <v>2014</v>
      </c>
      <c r="L26">
        <f>VLOOKUP(Tabelle4[[#This Row],[Key]],'3. Unique Results'!A:X,12,FALSE)</f>
        <v>44887.363807870373</v>
      </c>
      <c r="M26" s="17">
        <f>VLOOKUP(Tabelle4[[#This Row],[Key]],'3. Unique Results'!A:X,13,FALSE)</f>
        <v>44887.363807870373</v>
      </c>
      <c r="N26" s="17">
        <f>VLOOKUP(Tabelle4[[#This Row],[Key]],'3. Unique Results'!A:X,14,FALSE)</f>
        <v>0</v>
      </c>
      <c r="O26" t="str">
        <f>VLOOKUP(Tabelle4[[#This Row],[Key]],'3. Unique Results'!A:X,15,FALSE)</f>
        <v/>
      </c>
      <c r="P26" t="str">
        <f>VLOOKUP(Tabelle4[[#This Row],[Key]],'3. Unique Results'!A:X,16,FALSE)</f>
        <v/>
      </c>
      <c r="Q26" t="str">
        <f>VLOOKUP(Tabelle4[[#This Row],[Key]],'3. Unique Results'!A:X,17,FALSE)</f>
        <v/>
      </c>
      <c r="R26" t="str">
        <f>VLOOKUP(Tabelle4[[#This Row],[Key]],'3. Unique Results'!A:X,18,FALSE)</f>
        <v/>
      </c>
      <c r="S26" t="str">
        <f>VLOOKUP(Tabelle4[[#This Row],[Key]],'3. Unique Results'!A:X,19,FALSE)</f>
        <v/>
      </c>
      <c r="T26" t="str">
        <f>VLOOKUP(Tabelle4[[#This Row],[Key]],'3. Unique Results'!A:X,20,FALSE)</f>
        <v>um.edu.mt</v>
      </c>
      <c r="U26" t="str">
        <f>VLOOKUP(Tabelle4[[#This Row],[Key]],'3. Unique Results'!A:X,21,FALSE)</f>
        <v/>
      </c>
      <c r="V26" t="str">
        <f>VLOOKUP(Tabelle4[[#This Row],[Key]],'3. Unique Results'!A:X,22,FALSE)</f>
        <v/>
      </c>
      <c r="W26" t="str">
        <f>VLOOKUP(Tabelle4[[#This Row],[Key]],'3. Unique Results'!A:X,23,FALSE)</f>
        <v/>
      </c>
    </row>
    <row r="27" spans="1:23">
      <c r="A27" t="s">
        <v>5797</v>
      </c>
      <c r="B27" t="str">
        <f>VLOOKUP(Tabelle4[[#This Row],[Key]],'3. Unique Results'!A:X,2,FALSE)</f>
        <v>book</v>
      </c>
      <c r="C27">
        <f>VLOOKUP(Tabelle4[[#This Row],[Key]],'3. Unique Results'!A:X,3,FALSE)</f>
        <v>2018</v>
      </c>
      <c r="D27" t="str">
        <f>VLOOKUP(Tabelle4[[#This Row],[Key]],'3. Unique Results'!A:X,4,FALSE)</f>
        <v>Huang, X. B.</v>
      </c>
      <c r="E27" t="str">
        <f>VLOOKUP(Tabelle4[[#This Row],[Key]],'3. Unique Results'!A:X,5,FALSE)</f>
        <v>Design and Implementation of a Domain Specific Language for Deep Learning</v>
      </c>
      <c r="F27" t="str">
        <f>VLOOKUP(Tabelle4[[#This Row],[Key]],'3. Unique Results'!A:X,6,FALSE)</f>
        <v/>
      </c>
      <c r="G27" t="str">
        <f>VLOOKUP(Tabelle4[[#This Row],[Key]],'3. Unique Results'!A:X,7,FALSE)</f>
        <v/>
      </c>
      <c r="H27" t="str">
        <f>VLOOKUP(Tabelle4[[#This Row],[Key]],'3. Unique Results'!A:X,8,FALSE)</f>
        <v/>
      </c>
      <c r="I27" t="str">
        <f>VLOOKUP(Tabelle4[[#This Row],[Key]],'3. Unique Results'!A:X,9,FALSE)</f>
        <v/>
      </c>
      <c r="J27" t="str">
        <f>VLOOKUP(Tabelle4[[#This Row],[Key]],'3. Unique Results'!A:X,10,FALSE)</f>
        <v>https://search.proquest.com/openview/b0b6c05e1cb0c18550edf3c202ac82d0/1?pq-origsite=gscholar\&amp;cbl=18750</v>
      </c>
      <c r="K27" t="str">
        <f>VLOOKUP(Tabelle4[[#This Row],[Key]],'3. Unique Results'!A:X,11,FALSE)</f>
        <v>2018</v>
      </c>
      <c r="L27">
        <f>VLOOKUP(Tabelle4[[#This Row],[Key]],'3. Unique Results'!A:X,12,FALSE)</f>
        <v>44887.363807870373</v>
      </c>
      <c r="M27" s="17">
        <f>VLOOKUP(Tabelle4[[#This Row],[Key]],'3. Unique Results'!A:X,13,FALSE)</f>
        <v>44887.363807870373</v>
      </c>
      <c r="N27" s="17">
        <f>VLOOKUP(Tabelle4[[#This Row],[Key]],'3. Unique Results'!A:X,14,FALSE)</f>
        <v>0</v>
      </c>
      <c r="O27" t="str">
        <f>VLOOKUP(Tabelle4[[#This Row],[Key]],'3. Unique Results'!A:X,15,FALSE)</f>
        <v/>
      </c>
      <c r="P27" t="str">
        <f>VLOOKUP(Tabelle4[[#This Row],[Key]],'3. Unique Results'!A:X,16,FALSE)</f>
        <v/>
      </c>
      <c r="Q27" t="str">
        <f>VLOOKUP(Tabelle4[[#This Row],[Key]],'3. Unique Results'!A:X,17,FALSE)</f>
        <v/>
      </c>
      <c r="R27" t="str">
        <f>VLOOKUP(Tabelle4[[#This Row],[Key]],'3. Unique Results'!A:X,18,FALSE)</f>
        <v/>
      </c>
      <c r="S27" t="str">
        <f>VLOOKUP(Tabelle4[[#This Row],[Key]],'3. Unique Results'!A:X,19,FALSE)</f>
        <v/>
      </c>
      <c r="T27" t="str">
        <f>VLOOKUP(Tabelle4[[#This Row],[Key]],'3. Unique Results'!A:X,20,FALSE)</f>
        <v>search.proquest.com</v>
      </c>
      <c r="U27" t="str">
        <f>VLOOKUP(Tabelle4[[#This Row],[Key]],'3. Unique Results'!A:X,21,FALSE)</f>
        <v/>
      </c>
      <c r="V27" t="str">
        <f>VLOOKUP(Tabelle4[[#This Row],[Key]],'3. Unique Results'!A:X,22,FALSE)</f>
        <v/>
      </c>
      <c r="W27" t="str">
        <f>VLOOKUP(Tabelle4[[#This Row],[Key]],'3. Unique Results'!A:X,23,FALSE)</f>
        <v/>
      </c>
    </row>
    <row r="28" spans="1:23">
      <c r="A28" t="s">
        <v>5798</v>
      </c>
      <c r="B28" t="str">
        <f>VLOOKUP(Tabelle4[[#This Row],[Key]],'3. Unique Results'!A:X,2,FALSE)</f>
        <v>journalArticle</v>
      </c>
      <c r="C28">
        <f>VLOOKUP(Tabelle4[[#This Row],[Key]],'3. Unique Results'!A:X,3,FALSE)</f>
        <v>2020</v>
      </c>
      <c r="D28" t="str">
        <f>VLOOKUP(Tabelle4[[#This Row],[Key]],'3. Unique Results'!A:X,4,FALSE)</f>
        <v>Celms, E.; Barzdins, J.; Kalnins, A.; Barzdins, P.; ...</v>
      </c>
      <c r="E28" t="str">
        <f>VLOOKUP(Tabelle4[[#This Row],[Key]],'3. Unique Results'!A:X,5,FALSE)</f>
        <v>DSL approach to deep Learning lifecycle data management</v>
      </c>
      <c r="F28" t="str">
        <f>VLOOKUP(Tabelle4[[#This Row],[Key]],'3. Unique Results'!A:X,6,FALSE)</f>
        <v>Baltic Journal of …</v>
      </c>
      <c r="G28" t="str">
        <f>VLOOKUP(Tabelle4[[#This Row],[Key]],'3. Unique Results'!A:X,7,FALSE)</f>
        <v/>
      </c>
      <c r="H28" t="str">
        <f>VLOOKUP(Tabelle4[[#This Row],[Key]],'3. Unique Results'!A:X,8,FALSE)</f>
        <v/>
      </c>
      <c r="I28" t="str">
        <f>VLOOKUP(Tabelle4[[#This Row],[Key]],'3. Unique Results'!A:X,9,FALSE)</f>
        <v/>
      </c>
      <c r="J28" t="str">
        <f>VLOOKUP(Tabelle4[[#This Row],[Key]],'3. Unique Results'!A:X,10,FALSE)</f>
        <v>https://www.bjmc.lu.lv/fileadmin/user_upload/lu_portal/projekti/bjmc/Contents/8_4_09_Celms1.pdf</v>
      </c>
      <c r="K28" t="str">
        <f>VLOOKUP(Tabelle4[[#This Row],[Key]],'3. Unique Results'!A:X,11,FALSE)</f>
        <v>2020</v>
      </c>
      <c r="L28">
        <f>VLOOKUP(Tabelle4[[#This Row],[Key]],'3. Unique Results'!A:X,12,FALSE)</f>
        <v>44887.363807870373</v>
      </c>
      <c r="M28" s="17">
        <f>VLOOKUP(Tabelle4[[#This Row],[Key]],'3. Unique Results'!A:X,13,FALSE)</f>
        <v>44887.363807870373</v>
      </c>
      <c r="N28" s="17">
        <f>VLOOKUP(Tabelle4[[#This Row],[Key]],'3. Unique Results'!A:X,14,FALSE)</f>
        <v>0</v>
      </c>
      <c r="O28" t="str">
        <f>VLOOKUP(Tabelle4[[#This Row],[Key]],'3. Unique Results'!A:X,15,FALSE)</f>
        <v/>
      </c>
      <c r="P28" t="str">
        <f>VLOOKUP(Tabelle4[[#This Row],[Key]],'3. Unique Results'!A:X,16,FALSE)</f>
        <v/>
      </c>
      <c r="Q28" t="str">
        <f>VLOOKUP(Tabelle4[[#This Row],[Key]],'3. Unique Results'!A:X,17,FALSE)</f>
        <v/>
      </c>
      <c r="R28" t="str">
        <f>VLOOKUP(Tabelle4[[#This Row],[Key]],'3. Unique Results'!A:X,18,FALSE)</f>
        <v/>
      </c>
      <c r="S28" t="str">
        <f>VLOOKUP(Tabelle4[[#This Row],[Key]],'3. Unique Results'!A:X,19,FALSE)</f>
        <v/>
      </c>
      <c r="T28" t="str">
        <f>VLOOKUP(Tabelle4[[#This Row],[Key]],'3. Unique Results'!A:X,20,FALSE)</f>
        <v/>
      </c>
      <c r="U28" t="str">
        <f>VLOOKUP(Tabelle4[[#This Row],[Key]],'3. Unique Results'!A:X,21,FALSE)</f>
        <v/>
      </c>
      <c r="V28" t="str">
        <f>VLOOKUP(Tabelle4[[#This Row],[Key]],'3. Unique Results'!A:X,22,FALSE)</f>
        <v/>
      </c>
      <c r="W28" t="str">
        <f>VLOOKUP(Tabelle4[[#This Row],[Key]],'3. Unique Results'!A:X,23,FALSE)</f>
        <v/>
      </c>
    </row>
    <row r="29" spans="1:23">
      <c r="A29" t="s">
        <v>5799</v>
      </c>
      <c r="B29" t="str">
        <f>VLOOKUP(Tabelle4[[#This Row],[Key]],'3. Unique Results'!A:X,2,FALSE)</f>
        <v>journalArticle</v>
      </c>
      <c r="C29">
        <f>VLOOKUP(Tabelle4[[#This Row],[Key]],'3. Unique Results'!A:X,3,FALSE)</f>
        <v>2021</v>
      </c>
      <c r="D29" t="str">
        <f>VLOOKUP(Tabelle4[[#This Row],[Key]],'3. Unique Results'!A:X,4,FALSE)</f>
        <v>Jha, S.</v>
      </c>
      <c r="E29" t="str">
        <f>VLOOKUP(Tabelle4[[#This Row],[Key]],'3. Unique Results'!A:X,5,FALSE)</f>
        <v>Learning Domain Specific Language Models for Automatic Speech Recognition through Machine Translation</v>
      </c>
      <c r="F29" t="str">
        <f>VLOOKUP(Tabelle4[[#This Row],[Key]],'3. Unique Results'!A:X,6,FALSE)</f>
        <v>arXiv preprint arXiv:2110.10261</v>
      </c>
      <c r="G29" t="str">
        <f>VLOOKUP(Tabelle4[[#This Row],[Key]],'3. Unique Results'!A:X,7,FALSE)</f>
        <v/>
      </c>
      <c r="H29" t="str">
        <f>VLOOKUP(Tabelle4[[#This Row],[Key]],'3. Unique Results'!A:X,8,FALSE)</f>
        <v/>
      </c>
      <c r="I29" t="str">
        <f>VLOOKUP(Tabelle4[[#This Row],[Key]],'3. Unique Results'!A:X,9,FALSE)</f>
        <v/>
      </c>
      <c r="J29" t="str">
        <f>VLOOKUP(Tabelle4[[#This Row],[Key]],'3. Unique Results'!A:X,10,FALSE)</f>
        <v>https://arxiv.org/abs/2110.10261</v>
      </c>
      <c r="K29" t="str">
        <f>VLOOKUP(Tabelle4[[#This Row],[Key]],'3. Unique Results'!A:X,11,FALSE)</f>
        <v>2021</v>
      </c>
      <c r="L29">
        <f>VLOOKUP(Tabelle4[[#This Row],[Key]],'3. Unique Results'!A:X,12,FALSE)</f>
        <v>44887.363807870373</v>
      </c>
      <c r="M29" s="17">
        <f>VLOOKUP(Tabelle4[[#This Row],[Key]],'3. Unique Results'!A:X,13,FALSE)</f>
        <v>44887.363807870373</v>
      </c>
      <c r="N29" s="17">
        <f>VLOOKUP(Tabelle4[[#This Row],[Key]],'3. Unique Results'!A:X,14,FALSE)</f>
        <v>0</v>
      </c>
      <c r="O29" t="str">
        <f>VLOOKUP(Tabelle4[[#This Row],[Key]],'3. Unique Results'!A:X,15,FALSE)</f>
        <v/>
      </c>
      <c r="P29" t="str">
        <f>VLOOKUP(Tabelle4[[#This Row],[Key]],'3. Unique Results'!A:X,16,FALSE)</f>
        <v/>
      </c>
      <c r="Q29" t="str">
        <f>VLOOKUP(Tabelle4[[#This Row],[Key]],'3. Unique Results'!A:X,17,FALSE)</f>
        <v/>
      </c>
      <c r="R29" t="str">
        <f>VLOOKUP(Tabelle4[[#This Row],[Key]],'3. Unique Results'!A:X,18,FALSE)</f>
        <v/>
      </c>
      <c r="S29" t="str">
        <f>VLOOKUP(Tabelle4[[#This Row],[Key]],'3. Unique Results'!A:X,19,FALSE)</f>
        <v/>
      </c>
      <c r="T29" t="str">
        <f>VLOOKUP(Tabelle4[[#This Row],[Key]],'3. Unique Results'!A:X,20,FALSE)</f>
        <v/>
      </c>
      <c r="U29" t="str">
        <f>VLOOKUP(Tabelle4[[#This Row],[Key]],'3. Unique Results'!A:X,21,FALSE)</f>
        <v/>
      </c>
      <c r="V29" t="str">
        <f>VLOOKUP(Tabelle4[[#This Row],[Key]],'3. Unique Results'!A:X,22,FALSE)</f>
        <v/>
      </c>
      <c r="W29" t="str">
        <f>VLOOKUP(Tabelle4[[#This Row],[Key]],'3. Unique Results'!A:X,23,FALSE)</f>
        <v/>
      </c>
    </row>
    <row r="30" spans="1:23">
      <c r="A30" t="s">
        <v>5800</v>
      </c>
      <c r="B30" t="str">
        <f>VLOOKUP(Tabelle4[[#This Row],[Key]],'3. Unique Results'!A:X,2,FALSE)</f>
        <v>journalArticle</v>
      </c>
      <c r="C30">
        <f>VLOOKUP(Tabelle4[[#This Row],[Key]],'3. Unique Results'!A:X,3,FALSE)</f>
        <v>2021</v>
      </c>
      <c r="D30" t="str">
        <f>VLOOKUP(Tabelle4[[#This Row],[Key]],'3. Unique Results'!A:X,4,FALSE)</f>
        <v>Sakun, N. L.; Abidin, Z. Z.; ...</v>
      </c>
      <c r="E30" t="str">
        <f>VLOOKUP(Tabelle4[[#This Row],[Key]],'3. Unique Results'!A:X,5,FALSE)</f>
        <v>Cable Fault Detection in DSL Communication System-based on Machine Learning</v>
      </c>
      <c r="F30" t="str">
        <f>VLOOKUP(Tabelle4[[#This Row],[Key]],'3. Unique Results'!A:X,6,FALSE)</f>
        <v>Evolution in Electrical and …</v>
      </c>
      <c r="G30" t="str">
        <f>VLOOKUP(Tabelle4[[#This Row],[Key]],'3. Unique Results'!A:X,7,FALSE)</f>
        <v/>
      </c>
      <c r="H30" t="str">
        <f>VLOOKUP(Tabelle4[[#This Row],[Key]],'3. Unique Results'!A:X,8,FALSE)</f>
        <v/>
      </c>
      <c r="I30" t="str">
        <f>VLOOKUP(Tabelle4[[#This Row],[Key]],'3. Unique Results'!A:X,9,FALSE)</f>
        <v/>
      </c>
      <c r="J30" t="str">
        <f>VLOOKUP(Tabelle4[[#This Row],[Key]],'3. Unique Results'!A:X,10,FALSE)</f>
        <v>https://penerbit.uthm.edu.my/periodicals/index.php/eeee/article/view/1723</v>
      </c>
      <c r="K30" t="str">
        <f>VLOOKUP(Tabelle4[[#This Row],[Key]],'3. Unique Results'!A:X,11,FALSE)</f>
        <v>2021</v>
      </c>
      <c r="L30">
        <f>VLOOKUP(Tabelle4[[#This Row],[Key]],'3. Unique Results'!A:X,12,FALSE)</f>
        <v>44887.363807870373</v>
      </c>
      <c r="M30" s="17">
        <f>VLOOKUP(Tabelle4[[#This Row],[Key]],'3. Unique Results'!A:X,13,FALSE)</f>
        <v>44887.363807870373</v>
      </c>
      <c r="N30" s="17">
        <f>VLOOKUP(Tabelle4[[#This Row],[Key]],'3. Unique Results'!A:X,14,FALSE)</f>
        <v>0</v>
      </c>
      <c r="O30" t="str">
        <f>VLOOKUP(Tabelle4[[#This Row],[Key]],'3. Unique Results'!A:X,15,FALSE)</f>
        <v/>
      </c>
      <c r="P30" t="str">
        <f>VLOOKUP(Tabelle4[[#This Row],[Key]],'3. Unique Results'!A:X,16,FALSE)</f>
        <v/>
      </c>
      <c r="Q30" t="str">
        <f>VLOOKUP(Tabelle4[[#This Row],[Key]],'3. Unique Results'!A:X,17,FALSE)</f>
        <v/>
      </c>
      <c r="R30" t="str">
        <f>VLOOKUP(Tabelle4[[#This Row],[Key]],'3. Unique Results'!A:X,18,FALSE)</f>
        <v/>
      </c>
      <c r="S30" t="str">
        <f>VLOOKUP(Tabelle4[[#This Row],[Key]],'3. Unique Results'!A:X,19,FALSE)</f>
        <v/>
      </c>
      <c r="T30" t="str">
        <f>VLOOKUP(Tabelle4[[#This Row],[Key]],'3. Unique Results'!A:X,20,FALSE)</f>
        <v/>
      </c>
      <c r="U30" t="str">
        <f>VLOOKUP(Tabelle4[[#This Row],[Key]],'3. Unique Results'!A:X,21,FALSE)</f>
        <v/>
      </c>
      <c r="V30" t="str">
        <f>VLOOKUP(Tabelle4[[#This Row],[Key]],'3. Unique Results'!A:X,22,FALSE)</f>
        <v/>
      </c>
      <c r="W30" t="str">
        <f>VLOOKUP(Tabelle4[[#This Row],[Key]],'3. Unique Results'!A:X,23,FALSE)</f>
        <v/>
      </c>
    </row>
    <row r="31" spans="1:23">
      <c r="A31" t="s">
        <v>4443</v>
      </c>
      <c r="B31" t="str">
        <f>VLOOKUP(Tabelle4[[#This Row],[Key]],'3. Unique Results'!A:X,2,FALSE)</f>
        <v>journalArticle</v>
      </c>
      <c r="C31">
        <f>VLOOKUP(Tabelle4[[#This Row],[Key]],'3. Unique Results'!A:X,3,FALSE)</f>
        <v>2020</v>
      </c>
      <c r="D31" t="str">
        <f>VLOOKUP(Tabelle4[[#This Row],[Key]],'3. Unique Results'!A:X,4,FALSE)</f>
        <v>Moin, A.; Rössler, S.; Günnemann, S.</v>
      </c>
      <c r="E31" t="str">
        <f>VLOOKUP(Tabelle4[[#This Row],[Key]],'3. Unique Results'!A:X,5,FALSE)</f>
        <v>ThingML+ Augmenting Model-Driven Software Engineering for the Internet of Things with Machine Learning</v>
      </c>
      <c r="F31" t="str">
        <f>VLOOKUP(Tabelle4[[#This Row],[Key]],'3. Unique Results'!A:X,6,FALSE)</f>
        <v>arXiv preprint arXiv:2009.10633</v>
      </c>
      <c r="G31" t="str">
        <f>VLOOKUP(Tabelle4[[#This Row],[Key]],'3. Unique Results'!A:X,7,FALSE)</f>
        <v/>
      </c>
      <c r="H31" t="str">
        <f>VLOOKUP(Tabelle4[[#This Row],[Key]],'3. Unique Results'!A:X,8,FALSE)</f>
        <v/>
      </c>
      <c r="I31" t="str">
        <f>VLOOKUP(Tabelle4[[#This Row],[Key]],'3. Unique Results'!A:X,9,FALSE)</f>
        <v/>
      </c>
      <c r="J31" t="str">
        <f>VLOOKUP(Tabelle4[[#This Row],[Key]],'3. Unique Results'!A:X,10,FALSE)</f>
        <v>https://arxiv.org/abs/2009.10633</v>
      </c>
      <c r="K31" t="str">
        <f>VLOOKUP(Tabelle4[[#This Row],[Key]],'3. Unique Results'!A:X,11,FALSE)</f>
        <v>2020</v>
      </c>
      <c r="L31">
        <f>VLOOKUP(Tabelle4[[#This Row],[Key]],'3. Unique Results'!A:X,12,FALSE)</f>
        <v>44887.363807870373</v>
      </c>
      <c r="M31" s="17">
        <f>VLOOKUP(Tabelle4[[#This Row],[Key]],'3. Unique Results'!A:X,13,FALSE)</f>
        <v>44887.363807870373</v>
      </c>
      <c r="N31" s="17">
        <f>VLOOKUP(Tabelle4[[#This Row],[Key]],'3. Unique Results'!A:X,14,FALSE)</f>
        <v>0</v>
      </c>
      <c r="O31" t="str">
        <f>VLOOKUP(Tabelle4[[#This Row],[Key]],'3. Unique Results'!A:X,15,FALSE)</f>
        <v/>
      </c>
      <c r="P31" t="str">
        <f>VLOOKUP(Tabelle4[[#This Row],[Key]],'3. Unique Results'!A:X,16,FALSE)</f>
        <v/>
      </c>
      <c r="Q31" t="str">
        <f>VLOOKUP(Tabelle4[[#This Row],[Key]],'3. Unique Results'!A:X,17,FALSE)</f>
        <v/>
      </c>
      <c r="R31" t="str">
        <f>VLOOKUP(Tabelle4[[#This Row],[Key]],'3. Unique Results'!A:X,18,FALSE)</f>
        <v/>
      </c>
      <c r="S31" t="str">
        <f>VLOOKUP(Tabelle4[[#This Row],[Key]],'3. Unique Results'!A:X,19,FALSE)</f>
        <v/>
      </c>
      <c r="T31" t="str">
        <f>VLOOKUP(Tabelle4[[#This Row],[Key]],'3. Unique Results'!A:X,20,FALSE)</f>
        <v/>
      </c>
      <c r="U31" t="str">
        <f>VLOOKUP(Tabelle4[[#This Row],[Key]],'3. Unique Results'!A:X,21,FALSE)</f>
        <v/>
      </c>
      <c r="V31" t="str">
        <f>VLOOKUP(Tabelle4[[#This Row],[Key]],'3. Unique Results'!A:X,22,FALSE)</f>
        <v/>
      </c>
      <c r="W31" t="str">
        <f>VLOOKUP(Tabelle4[[#This Row],[Key]],'3. Unique Results'!A:X,23,FALSE)</f>
        <v/>
      </c>
    </row>
    <row r="32" spans="1:23">
      <c r="A32" t="s">
        <v>5801</v>
      </c>
      <c r="B32" t="str">
        <f>VLOOKUP(Tabelle4[[#This Row],[Key]],'3. Unique Results'!A:X,2,FALSE)</f>
        <v>journalArticle</v>
      </c>
      <c r="C32">
        <f>VLOOKUP(Tabelle4[[#This Row],[Key]],'3. Unique Results'!A:X,3,FALSE)</f>
        <v>2019</v>
      </c>
      <c r="D32" t="str">
        <f>VLOOKUP(Tabelle4[[#This Row],[Key]],'3. Unique Results'!A:X,4,FALSE)</f>
        <v>Restrepo-Montoya, D.; Alvarez-Montoya, J.; ...</v>
      </c>
      <c r="E32" t="str">
        <f>VLOOKUP(Tabelle4[[#This Row],[Key]],'3. Unique Results'!A:X,5,FALSE)</f>
        <v>Artificial Intelligence Metamodeling Approach to Design Smart Composite Laminates with Bend-Twist Coupling</v>
      </c>
      <c r="F32" t="str">
        <f>VLOOKUP(Tabelle4[[#This Row],[Key]],'3. Unique Results'!A:X,6,FALSE)</f>
        <v>2019 IEEE 2nd …</v>
      </c>
      <c r="G32" t="str">
        <f>VLOOKUP(Tabelle4[[#This Row],[Key]],'3. Unique Results'!A:X,7,FALSE)</f>
        <v/>
      </c>
      <c r="H32" t="str">
        <f>VLOOKUP(Tabelle4[[#This Row],[Key]],'3. Unique Results'!A:X,8,FALSE)</f>
        <v/>
      </c>
      <c r="I32" t="str">
        <f>VLOOKUP(Tabelle4[[#This Row],[Key]],'3. Unique Results'!A:X,9,FALSE)</f>
        <v/>
      </c>
      <c r="J32" t="str">
        <f>VLOOKUP(Tabelle4[[#This Row],[Key]],'3. Unique Results'!A:X,10,FALSE)</f>
        <v>https://ieeexplore.ieee.org/abstract/document/9025137/</v>
      </c>
      <c r="K32" t="str">
        <f>VLOOKUP(Tabelle4[[#This Row],[Key]],'3. Unique Results'!A:X,11,FALSE)</f>
        <v>2019</v>
      </c>
      <c r="L32">
        <f>VLOOKUP(Tabelle4[[#This Row],[Key]],'3. Unique Results'!A:X,12,FALSE)</f>
        <v>44887.363807870373</v>
      </c>
      <c r="M32" s="17">
        <f>VLOOKUP(Tabelle4[[#This Row],[Key]],'3. Unique Results'!A:X,13,FALSE)</f>
        <v>44887.363807870373</v>
      </c>
      <c r="N32" s="17">
        <f>VLOOKUP(Tabelle4[[#This Row],[Key]],'3. Unique Results'!A:X,14,FALSE)</f>
        <v>0</v>
      </c>
      <c r="O32" t="str">
        <f>VLOOKUP(Tabelle4[[#This Row],[Key]],'3. Unique Results'!A:X,15,FALSE)</f>
        <v/>
      </c>
      <c r="P32" t="str">
        <f>VLOOKUP(Tabelle4[[#This Row],[Key]],'3. Unique Results'!A:X,16,FALSE)</f>
        <v/>
      </c>
      <c r="Q32" t="str">
        <f>VLOOKUP(Tabelle4[[#This Row],[Key]],'3. Unique Results'!A:X,17,FALSE)</f>
        <v/>
      </c>
      <c r="R32" t="str">
        <f>VLOOKUP(Tabelle4[[#This Row],[Key]],'3. Unique Results'!A:X,18,FALSE)</f>
        <v/>
      </c>
      <c r="S32" t="str">
        <f>VLOOKUP(Tabelle4[[#This Row],[Key]],'3. Unique Results'!A:X,19,FALSE)</f>
        <v/>
      </c>
      <c r="T32" t="str">
        <f>VLOOKUP(Tabelle4[[#This Row],[Key]],'3. Unique Results'!A:X,20,FALSE)</f>
        <v/>
      </c>
      <c r="U32" t="str">
        <f>VLOOKUP(Tabelle4[[#This Row],[Key]],'3. Unique Results'!A:X,21,FALSE)</f>
        <v/>
      </c>
      <c r="V32" t="str">
        <f>VLOOKUP(Tabelle4[[#This Row],[Key]],'3. Unique Results'!A:X,22,FALSE)</f>
        <v/>
      </c>
      <c r="W32" t="str">
        <f>VLOOKUP(Tabelle4[[#This Row],[Key]],'3. Unique Results'!A:X,23,FALSE)</f>
        <v/>
      </c>
    </row>
    <row r="33" spans="1:23">
      <c r="A33" t="s">
        <v>4444</v>
      </c>
      <c r="B33" t="str">
        <f>VLOOKUP(Tabelle4[[#This Row],[Key]],'3. Unique Results'!A:X,2,FALSE)</f>
        <v>journalArticle</v>
      </c>
      <c r="C33">
        <f>VLOOKUP(Tabelle4[[#This Row],[Key]],'3. Unique Results'!A:X,3,FALSE)</f>
        <v>2021</v>
      </c>
      <c r="D33" t="str">
        <f>VLOOKUP(Tabelle4[[#This Row],[Key]],'3. Unique Results'!A:X,4,FALSE)</f>
        <v>Moin, A.; Challenger, M.; Badii, A.; ...</v>
      </c>
      <c r="E33" t="str">
        <f>VLOOKUP(Tabelle4[[#This Row],[Key]],'3. Unique Results'!A:X,5,FALSE)</f>
        <v>Mde4qai: Towards model-driven engineering for quantum artificial intelligence</v>
      </c>
      <c r="F33" t="str">
        <f>VLOOKUP(Tabelle4[[#This Row],[Key]],'3. Unique Results'!A:X,6,FALSE)</f>
        <v>arXiv preprint arXiv …</v>
      </c>
      <c r="G33" t="str">
        <f>VLOOKUP(Tabelle4[[#This Row],[Key]],'3. Unique Results'!A:X,7,FALSE)</f>
        <v/>
      </c>
      <c r="H33" t="str">
        <f>VLOOKUP(Tabelle4[[#This Row],[Key]],'3. Unique Results'!A:X,8,FALSE)</f>
        <v/>
      </c>
      <c r="I33" t="str">
        <f>VLOOKUP(Tabelle4[[#This Row],[Key]],'3. Unique Results'!A:X,9,FALSE)</f>
        <v/>
      </c>
      <c r="J33" t="str">
        <f>VLOOKUP(Tabelle4[[#This Row],[Key]],'3. Unique Results'!A:X,10,FALSE)</f>
        <v>https://arxiv.org/abs/2107.06708</v>
      </c>
      <c r="K33" t="str">
        <f>VLOOKUP(Tabelle4[[#This Row],[Key]],'3. Unique Results'!A:X,11,FALSE)</f>
        <v>2021</v>
      </c>
      <c r="L33">
        <f>VLOOKUP(Tabelle4[[#This Row],[Key]],'3. Unique Results'!A:X,12,FALSE)</f>
        <v>44887.363807870373</v>
      </c>
      <c r="M33" s="17">
        <f>VLOOKUP(Tabelle4[[#This Row],[Key]],'3. Unique Results'!A:X,13,FALSE)</f>
        <v>44887.363807870373</v>
      </c>
      <c r="N33" s="17">
        <f>VLOOKUP(Tabelle4[[#This Row],[Key]],'3. Unique Results'!A:X,14,FALSE)</f>
        <v>0</v>
      </c>
      <c r="O33" t="str">
        <f>VLOOKUP(Tabelle4[[#This Row],[Key]],'3. Unique Results'!A:X,15,FALSE)</f>
        <v/>
      </c>
      <c r="P33" t="str">
        <f>VLOOKUP(Tabelle4[[#This Row],[Key]],'3. Unique Results'!A:X,16,FALSE)</f>
        <v/>
      </c>
      <c r="Q33" t="str">
        <f>VLOOKUP(Tabelle4[[#This Row],[Key]],'3. Unique Results'!A:X,17,FALSE)</f>
        <v/>
      </c>
      <c r="R33" t="str">
        <f>VLOOKUP(Tabelle4[[#This Row],[Key]],'3. Unique Results'!A:X,18,FALSE)</f>
        <v/>
      </c>
      <c r="S33" t="str">
        <f>VLOOKUP(Tabelle4[[#This Row],[Key]],'3. Unique Results'!A:X,19,FALSE)</f>
        <v/>
      </c>
      <c r="T33" t="str">
        <f>VLOOKUP(Tabelle4[[#This Row],[Key]],'3. Unique Results'!A:X,20,FALSE)</f>
        <v/>
      </c>
      <c r="U33" t="str">
        <f>VLOOKUP(Tabelle4[[#This Row],[Key]],'3. Unique Results'!A:X,21,FALSE)</f>
        <v/>
      </c>
      <c r="V33" t="str">
        <f>VLOOKUP(Tabelle4[[#This Row],[Key]],'3. Unique Results'!A:X,22,FALSE)</f>
        <v/>
      </c>
      <c r="W33" t="str">
        <f>VLOOKUP(Tabelle4[[#This Row],[Key]],'3. Unique Results'!A:X,23,FALSE)</f>
        <v/>
      </c>
    </row>
    <row r="34" spans="1:23">
      <c r="A34" t="s">
        <v>4445</v>
      </c>
      <c r="B34" t="str">
        <f>VLOOKUP(Tabelle4[[#This Row],[Key]],'3. Unique Results'!A:X,2,FALSE)</f>
        <v>journalArticle</v>
      </c>
      <c r="C34">
        <f>VLOOKUP(Tabelle4[[#This Row],[Key]],'3. Unique Results'!A:X,3,FALSE)</f>
        <v>2022</v>
      </c>
      <c r="D34" t="str">
        <f>VLOOKUP(Tabelle4[[#This Row],[Key]],'3. Unique Results'!A:X,4,FALSE)</f>
        <v>Giner-Miguelez, J.; Gómez, A.; Cabot, J.</v>
      </c>
      <c r="E34" t="str">
        <f>VLOOKUP(Tabelle4[[#This Row],[Key]],'3. Unique Results'!A:X,5,FALSE)</f>
        <v>A domain-specific language for describing machine learning dataset</v>
      </c>
      <c r="F34" t="str">
        <f>VLOOKUP(Tabelle4[[#This Row],[Key]],'3. Unique Results'!A:X,6,FALSE)</f>
        <v>arXiv preprint arXiv:2207.02848</v>
      </c>
      <c r="G34" t="str">
        <f>VLOOKUP(Tabelle4[[#This Row],[Key]],'3. Unique Results'!A:X,7,FALSE)</f>
        <v/>
      </c>
      <c r="H34" t="str">
        <f>VLOOKUP(Tabelle4[[#This Row],[Key]],'3. Unique Results'!A:X,8,FALSE)</f>
        <v/>
      </c>
      <c r="I34" t="str">
        <f>VLOOKUP(Tabelle4[[#This Row],[Key]],'3. Unique Results'!A:X,9,FALSE)</f>
        <v/>
      </c>
      <c r="J34" t="str">
        <f>VLOOKUP(Tabelle4[[#This Row],[Key]],'3. Unique Results'!A:X,10,FALSE)</f>
        <v>https://arxiv.org/abs/2207.02848</v>
      </c>
      <c r="K34" t="str">
        <f>VLOOKUP(Tabelle4[[#This Row],[Key]],'3. Unique Results'!A:X,11,FALSE)</f>
        <v>2022</v>
      </c>
      <c r="L34">
        <f>VLOOKUP(Tabelle4[[#This Row],[Key]],'3. Unique Results'!A:X,12,FALSE)</f>
        <v>44887.363807870373</v>
      </c>
      <c r="M34" s="17">
        <f>VLOOKUP(Tabelle4[[#This Row],[Key]],'3. Unique Results'!A:X,13,FALSE)</f>
        <v>44887.363807870373</v>
      </c>
      <c r="N34" s="17">
        <f>VLOOKUP(Tabelle4[[#This Row],[Key]],'3. Unique Results'!A:X,14,FALSE)</f>
        <v>0</v>
      </c>
      <c r="O34" t="str">
        <f>VLOOKUP(Tabelle4[[#This Row],[Key]],'3. Unique Results'!A:X,15,FALSE)</f>
        <v/>
      </c>
      <c r="P34" t="str">
        <f>VLOOKUP(Tabelle4[[#This Row],[Key]],'3. Unique Results'!A:X,16,FALSE)</f>
        <v/>
      </c>
      <c r="Q34" t="str">
        <f>VLOOKUP(Tabelle4[[#This Row],[Key]],'3. Unique Results'!A:X,17,FALSE)</f>
        <v/>
      </c>
      <c r="R34" t="str">
        <f>VLOOKUP(Tabelle4[[#This Row],[Key]],'3. Unique Results'!A:X,18,FALSE)</f>
        <v/>
      </c>
      <c r="S34" t="str">
        <f>VLOOKUP(Tabelle4[[#This Row],[Key]],'3. Unique Results'!A:X,19,FALSE)</f>
        <v/>
      </c>
      <c r="T34" t="str">
        <f>VLOOKUP(Tabelle4[[#This Row],[Key]],'3. Unique Results'!A:X,20,FALSE)</f>
        <v/>
      </c>
      <c r="U34" t="str">
        <f>VLOOKUP(Tabelle4[[#This Row],[Key]],'3. Unique Results'!A:X,21,FALSE)</f>
        <v/>
      </c>
      <c r="V34" t="str">
        <f>VLOOKUP(Tabelle4[[#This Row],[Key]],'3. Unique Results'!A:X,22,FALSE)</f>
        <v/>
      </c>
      <c r="W34" t="str">
        <f>VLOOKUP(Tabelle4[[#This Row],[Key]],'3. Unique Results'!A:X,23,FALSE)</f>
        <v/>
      </c>
    </row>
    <row r="35" spans="1:23">
      <c r="A35" t="s">
        <v>4446</v>
      </c>
      <c r="B35" t="str">
        <f>VLOOKUP(Tabelle4[[#This Row],[Key]],'3. Unique Results'!A:X,2,FALSE)</f>
        <v>journalArticle</v>
      </c>
      <c r="C35">
        <f>VLOOKUP(Tabelle4[[#This Row],[Key]],'3. Unique Results'!A:X,3,FALSE)</f>
        <v>2014</v>
      </c>
      <c r="D35" t="str">
        <f>VLOOKUP(Tabelle4[[#This Row],[Key]],'3. Unique Results'!A:X,4,FALSE)</f>
        <v>Breuker, D.</v>
      </c>
      <c r="E35" t="str">
        <f>VLOOKUP(Tabelle4[[#This Row],[Key]],'3. Unique Results'!A:X,5,FALSE)</f>
        <v>Towards Model-Driven Engineering for Big Data Analytics–An Exploratory Analysis of Domain-Specific Languages for Machine Learning</v>
      </c>
      <c r="F35" t="str">
        <f>VLOOKUP(Tabelle4[[#This Row],[Key]],'3. Unique Results'!A:X,6,FALSE)</f>
        <v>2014 47th Hawaii International Conference on …</v>
      </c>
      <c r="G35" t="str">
        <f>VLOOKUP(Tabelle4[[#This Row],[Key]],'3. Unique Results'!A:X,7,FALSE)</f>
        <v/>
      </c>
      <c r="H35" t="str">
        <f>VLOOKUP(Tabelle4[[#This Row],[Key]],'3. Unique Results'!A:X,8,FALSE)</f>
        <v/>
      </c>
      <c r="I35" t="str">
        <f>VLOOKUP(Tabelle4[[#This Row],[Key]],'3. Unique Results'!A:X,9,FALSE)</f>
        <v/>
      </c>
      <c r="J35" t="str">
        <f>VLOOKUP(Tabelle4[[#This Row],[Key]],'3. Unique Results'!A:X,10,FALSE)</f>
        <v>https://ieeexplore.ieee.org/abstract/document/6758697/</v>
      </c>
      <c r="K35" t="str">
        <f>VLOOKUP(Tabelle4[[#This Row],[Key]],'3. Unique Results'!A:X,11,FALSE)</f>
        <v>2014</v>
      </c>
      <c r="L35">
        <f>VLOOKUP(Tabelle4[[#This Row],[Key]],'3. Unique Results'!A:X,12,FALSE)</f>
        <v>44887.363807870373</v>
      </c>
      <c r="M35" s="17">
        <f>VLOOKUP(Tabelle4[[#This Row],[Key]],'3. Unique Results'!A:X,13,FALSE)</f>
        <v>44887.363807870373</v>
      </c>
      <c r="N35" s="17">
        <f>VLOOKUP(Tabelle4[[#This Row],[Key]],'3. Unique Results'!A:X,14,FALSE)</f>
        <v>0</v>
      </c>
      <c r="O35" t="str">
        <f>VLOOKUP(Tabelle4[[#This Row],[Key]],'3. Unique Results'!A:X,15,FALSE)</f>
        <v/>
      </c>
      <c r="P35" t="str">
        <f>VLOOKUP(Tabelle4[[#This Row],[Key]],'3. Unique Results'!A:X,16,FALSE)</f>
        <v/>
      </c>
      <c r="Q35" t="str">
        <f>VLOOKUP(Tabelle4[[#This Row],[Key]],'3. Unique Results'!A:X,17,FALSE)</f>
        <v/>
      </c>
      <c r="R35" t="str">
        <f>VLOOKUP(Tabelle4[[#This Row],[Key]],'3. Unique Results'!A:X,18,FALSE)</f>
        <v/>
      </c>
      <c r="S35" t="str">
        <f>VLOOKUP(Tabelle4[[#This Row],[Key]],'3. Unique Results'!A:X,19,FALSE)</f>
        <v/>
      </c>
      <c r="T35" t="str">
        <f>VLOOKUP(Tabelle4[[#This Row],[Key]],'3. Unique Results'!A:X,20,FALSE)</f>
        <v/>
      </c>
      <c r="U35" t="str">
        <f>VLOOKUP(Tabelle4[[#This Row],[Key]],'3. Unique Results'!A:X,21,FALSE)</f>
        <v/>
      </c>
      <c r="V35" t="str">
        <f>VLOOKUP(Tabelle4[[#This Row],[Key]],'3. Unique Results'!A:X,22,FALSE)</f>
        <v/>
      </c>
      <c r="W35" t="str">
        <f>VLOOKUP(Tabelle4[[#This Row],[Key]],'3. Unique Results'!A:X,23,FALSE)</f>
        <v/>
      </c>
    </row>
    <row r="36" spans="1:23">
      <c r="A36" t="s">
        <v>5802</v>
      </c>
      <c r="B36" t="str">
        <f>VLOOKUP(Tabelle4[[#This Row],[Key]],'3. Unique Results'!A:X,2,FALSE)</f>
        <v>journalArticle</v>
      </c>
      <c r="C36">
        <f>VLOOKUP(Tabelle4[[#This Row],[Key]],'3. Unique Results'!A:X,3,FALSE)</f>
        <v>2019</v>
      </c>
      <c r="D36" t="str">
        <f>VLOOKUP(Tabelle4[[#This Row],[Key]],'3. Unique Results'!A:X,4,FALSE)</f>
        <v>Burgueño, L.; Burdusel, A.; Gérard, S.; ...</v>
      </c>
      <c r="E36" t="str">
        <f>VLOOKUP(Tabelle4[[#This Row],[Key]],'3. Unique Results'!A:X,5,FALSE)</f>
        <v>Preface to MDE Intelligence 2019: 1st Workshop on Artificial Intelligence and Model-Driven Engineering</v>
      </c>
      <c r="F36" t="str">
        <f>VLOOKUP(Tabelle4[[#This Row],[Key]],'3. Unique Results'!A:X,6,FALSE)</f>
        <v>2019 ACM/IEEE 22nd …</v>
      </c>
      <c r="G36" t="str">
        <f>VLOOKUP(Tabelle4[[#This Row],[Key]],'3. Unique Results'!A:X,7,FALSE)</f>
        <v/>
      </c>
      <c r="H36" t="str">
        <f>VLOOKUP(Tabelle4[[#This Row],[Key]],'3. Unique Results'!A:X,8,FALSE)</f>
        <v/>
      </c>
      <c r="I36" t="str">
        <f>VLOOKUP(Tabelle4[[#This Row],[Key]],'3. Unique Results'!A:X,9,FALSE)</f>
        <v/>
      </c>
      <c r="J36" t="str">
        <f>VLOOKUP(Tabelle4[[#This Row],[Key]],'3. Unique Results'!A:X,10,FALSE)</f>
        <v>https://ieeexplore.ieee.org/abstract/document/8904820/</v>
      </c>
      <c r="K36" t="str">
        <f>VLOOKUP(Tabelle4[[#This Row],[Key]],'3. Unique Results'!A:X,11,FALSE)</f>
        <v>2019</v>
      </c>
      <c r="L36">
        <f>VLOOKUP(Tabelle4[[#This Row],[Key]],'3. Unique Results'!A:X,12,FALSE)</f>
        <v>44887.363807870373</v>
      </c>
      <c r="M36" s="17">
        <f>VLOOKUP(Tabelle4[[#This Row],[Key]],'3. Unique Results'!A:X,13,FALSE)</f>
        <v>44887.363807870373</v>
      </c>
      <c r="N36" s="17">
        <f>VLOOKUP(Tabelle4[[#This Row],[Key]],'3. Unique Results'!A:X,14,FALSE)</f>
        <v>0</v>
      </c>
      <c r="O36" t="str">
        <f>VLOOKUP(Tabelle4[[#This Row],[Key]],'3. Unique Results'!A:X,15,FALSE)</f>
        <v/>
      </c>
      <c r="P36" t="str">
        <f>VLOOKUP(Tabelle4[[#This Row],[Key]],'3. Unique Results'!A:X,16,FALSE)</f>
        <v/>
      </c>
      <c r="Q36" t="str">
        <f>VLOOKUP(Tabelle4[[#This Row],[Key]],'3. Unique Results'!A:X,17,FALSE)</f>
        <v/>
      </c>
      <c r="R36" t="str">
        <f>VLOOKUP(Tabelle4[[#This Row],[Key]],'3. Unique Results'!A:X,18,FALSE)</f>
        <v/>
      </c>
      <c r="S36" t="str">
        <f>VLOOKUP(Tabelle4[[#This Row],[Key]],'3. Unique Results'!A:X,19,FALSE)</f>
        <v/>
      </c>
      <c r="T36" t="str">
        <f>VLOOKUP(Tabelle4[[#This Row],[Key]],'3. Unique Results'!A:X,20,FALSE)</f>
        <v/>
      </c>
      <c r="U36" t="str">
        <f>VLOOKUP(Tabelle4[[#This Row],[Key]],'3. Unique Results'!A:X,21,FALSE)</f>
        <v/>
      </c>
      <c r="V36" t="str">
        <f>VLOOKUP(Tabelle4[[#This Row],[Key]],'3. Unique Results'!A:X,22,FALSE)</f>
        <v/>
      </c>
      <c r="W36" t="str">
        <f>VLOOKUP(Tabelle4[[#This Row],[Key]],'3. Unique Results'!A:X,23,FALSE)</f>
        <v/>
      </c>
    </row>
    <row r="37" spans="1:23">
      <c r="A37" t="s">
        <v>4447</v>
      </c>
      <c r="B37" t="str">
        <f>VLOOKUP(Tabelle4[[#This Row],[Key]],'3. Unique Results'!A:X,2,FALSE)</f>
        <v>journalArticle</v>
      </c>
      <c r="C37">
        <f>VLOOKUP(Tabelle4[[#This Row],[Key]],'3. Unique Results'!A:X,3,FALSE)</f>
        <v>2022</v>
      </c>
      <c r="D37" t="str">
        <f>VLOOKUP(Tabelle4[[#This Row],[Key]],'3. Unique Results'!A:X,4,FALSE)</f>
        <v>Moin, A.; Wattanavaekin, U.; Lungu, A.; ...</v>
      </c>
      <c r="E37" t="str">
        <f>VLOOKUP(Tabelle4[[#This Row],[Key]],'3. Unique Results'!A:X,5,FALSE)</f>
        <v>Enabling Automated Machine Learning for Model-Driven AI Engineering</v>
      </c>
      <c r="F37" t="str">
        <f>VLOOKUP(Tabelle4[[#This Row],[Key]],'3. Unique Results'!A:X,6,FALSE)</f>
        <v>arXiv preprint arXiv …</v>
      </c>
      <c r="G37" t="str">
        <f>VLOOKUP(Tabelle4[[#This Row],[Key]],'3. Unique Results'!A:X,7,FALSE)</f>
        <v/>
      </c>
      <c r="H37" t="str">
        <f>VLOOKUP(Tabelle4[[#This Row],[Key]],'3. Unique Results'!A:X,8,FALSE)</f>
        <v/>
      </c>
      <c r="I37" t="str">
        <f>VLOOKUP(Tabelle4[[#This Row],[Key]],'3. Unique Results'!A:X,9,FALSE)</f>
        <v/>
      </c>
      <c r="J37" t="str">
        <f>VLOOKUP(Tabelle4[[#This Row],[Key]],'3. Unique Results'!A:X,10,FALSE)</f>
        <v>https://arxiv.org/abs/2203.02927</v>
      </c>
      <c r="K37" t="str">
        <f>VLOOKUP(Tabelle4[[#This Row],[Key]],'3. Unique Results'!A:X,11,FALSE)</f>
        <v>2022</v>
      </c>
      <c r="L37">
        <f>VLOOKUP(Tabelle4[[#This Row],[Key]],'3. Unique Results'!A:X,12,FALSE)</f>
        <v>44887.363807870373</v>
      </c>
      <c r="M37" s="17">
        <f>VLOOKUP(Tabelle4[[#This Row],[Key]],'3. Unique Results'!A:X,13,FALSE)</f>
        <v>44887.363807870373</v>
      </c>
      <c r="N37" s="17">
        <f>VLOOKUP(Tabelle4[[#This Row],[Key]],'3. Unique Results'!A:X,14,FALSE)</f>
        <v>0</v>
      </c>
      <c r="O37" t="str">
        <f>VLOOKUP(Tabelle4[[#This Row],[Key]],'3. Unique Results'!A:X,15,FALSE)</f>
        <v/>
      </c>
      <c r="P37" t="str">
        <f>VLOOKUP(Tabelle4[[#This Row],[Key]],'3. Unique Results'!A:X,16,FALSE)</f>
        <v/>
      </c>
      <c r="Q37" t="str">
        <f>VLOOKUP(Tabelle4[[#This Row],[Key]],'3. Unique Results'!A:X,17,FALSE)</f>
        <v/>
      </c>
      <c r="R37" t="str">
        <f>VLOOKUP(Tabelle4[[#This Row],[Key]],'3. Unique Results'!A:X,18,FALSE)</f>
        <v/>
      </c>
      <c r="S37" t="str">
        <f>VLOOKUP(Tabelle4[[#This Row],[Key]],'3. Unique Results'!A:X,19,FALSE)</f>
        <v/>
      </c>
      <c r="T37" t="str">
        <f>VLOOKUP(Tabelle4[[#This Row],[Key]],'3. Unique Results'!A:X,20,FALSE)</f>
        <v/>
      </c>
      <c r="U37" t="str">
        <f>VLOOKUP(Tabelle4[[#This Row],[Key]],'3. Unique Results'!A:X,21,FALSE)</f>
        <v/>
      </c>
      <c r="V37" t="str">
        <f>VLOOKUP(Tabelle4[[#This Row],[Key]],'3. Unique Results'!A:X,22,FALSE)</f>
        <v/>
      </c>
      <c r="W37" t="str">
        <f>VLOOKUP(Tabelle4[[#This Row],[Key]],'3. Unique Results'!A:X,23,FALSE)</f>
        <v/>
      </c>
    </row>
    <row r="38" spans="1:23">
      <c r="A38" t="s">
        <v>5803</v>
      </c>
      <c r="B38" t="str">
        <f>VLOOKUP(Tabelle4[[#This Row],[Key]],'3. Unique Results'!A:X,2,FALSE)</f>
        <v>journalArticle</v>
      </c>
      <c r="C38">
        <f>VLOOKUP(Tabelle4[[#This Row],[Key]],'3. Unique Results'!A:X,3,FALSE)</f>
        <v>2021</v>
      </c>
      <c r="D38" t="str">
        <f>VLOOKUP(Tabelle4[[#This Row],[Key]],'3. Unique Results'!A:X,4,FALSE)</f>
        <v>Huang, Seth H.; Xu, Lingjie; Jiang, Congwei</v>
      </c>
      <c r="E38" t="str">
        <f>VLOOKUP(Tabelle4[[#This Row],[Key]],'3. Unique Results'!A:X,5,FALSE)</f>
        <v>Artificial Intelligence and Advanced Time Series Classification: Residual Attention Net for Cross-Domain Modeling</v>
      </c>
      <c r="F38" t="str">
        <f>VLOOKUP(Tabelle4[[#This Row],[Key]],'3. Unique Results'!A:X,6,FALSE)</f>
        <v>Fintech with Artificial Intelligence, Big Data, and Blockchain</v>
      </c>
      <c r="G38" t="str">
        <f>VLOOKUP(Tabelle4[[#This Row],[Key]],'3. Unique Results'!A:X,7,FALSE)</f>
        <v/>
      </c>
      <c r="H38" t="str">
        <f>VLOOKUP(Tabelle4[[#This Row],[Key]],'3. Unique Results'!A:X,8,FALSE)</f>
        <v/>
      </c>
      <c r="I38" t="str">
        <f>VLOOKUP(Tabelle4[[#This Row],[Key]],'3. Unique Results'!A:X,9,FALSE)</f>
        <v/>
      </c>
      <c r="J38" t="str">
        <f>VLOOKUP(Tabelle4[[#This Row],[Key]],'3. Unique Results'!A:X,10,FALSE)</f>
        <v>http://link.springer.com/10.1007/978-981-33-6137-9_5</v>
      </c>
      <c r="K38" t="str">
        <f>VLOOKUP(Tabelle4[[#This Row],[Key]],'3. Unique Results'!A:X,11,FALSE)</f>
        <v>2021</v>
      </c>
      <c r="L38">
        <f>VLOOKUP(Tabelle4[[#This Row],[Key]],'3. Unique Results'!A:X,12,FALSE)</f>
        <v>44887.363807870373</v>
      </c>
      <c r="M38" s="17">
        <f>VLOOKUP(Tabelle4[[#This Row],[Key]],'3. Unique Results'!A:X,13,FALSE)</f>
        <v>44887.363807870373</v>
      </c>
      <c r="N38" s="17">
        <f>VLOOKUP(Tabelle4[[#This Row],[Key]],'3. Unique Results'!A:X,14,FALSE)</f>
        <v>44886.598333333335</v>
      </c>
      <c r="O38" t="str">
        <f>VLOOKUP(Tabelle4[[#This Row],[Key]],'3. Unique Results'!A:X,15,FALSE)</f>
        <v>153-168</v>
      </c>
      <c r="P38" t="str">
        <f>VLOOKUP(Tabelle4[[#This Row],[Key]],'3. Unique Results'!A:X,16,FALSE)</f>
        <v/>
      </c>
      <c r="Q38" t="str">
        <f>VLOOKUP(Tabelle4[[#This Row],[Key]],'3. Unique Results'!A:X,17,FALSE)</f>
        <v/>
      </c>
      <c r="R38" t="str">
        <f>VLOOKUP(Tabelle4[[#This Row],[Key]],'3. Unique Results'!A:X,18,FALSE)</f>
        <v/>
      </c>
      <c r="S38" t="str">
        <f>VLOOKUP(Tabelle4[[#This Row],[Key]],'3. Unique Results'!A:X,19,FALSE)</f>
        <v>Artificial Intelligence and Advanced Time Series Classification</v>
      </c>
      <c r="T38" t="str">
        <f>VLOOKUP(Tabelle4[[#This Row],[Key]],'3. Unique Results'!A:X,20,FALSE)</f>
        <v/>
      </c>
      <c r="U38" t="str">
        <f>VLOOKUP(Tabelle4[[#This Row],[Key]],'3. Unique Results'!A:X,21,FALSE)</f>
        <v/>
      </c>
      <c r="V38" t="str">
        <f>VLOOKUP(Tabelle4[[#This Row],[Key]],'3. Unique Results'!A:X,22,FALSE)</f>
        <v>en</v>
      </c>
      <c r="W38" t="str">
        <f>VLOOKUP(Tabelle4[[#This Row],[Key]],'3. Unique Results'!A:X,23,FALSE)</f>
        <v>DOI.org (Crossref)</v>
      </c>
    </row>
    <row r="39" spans="1:23">
      <c r="A39" t="s">
        <v>5806</v>
      </c>
      <c r="B39" t="str">
        <f>VLOOKUP(Tabelle4[[#This Row],[Key]],'3. Unique Results'!A:X,2,FALSE)</f>
        <v>journalArticle</v>
      </c>
      <c r="C39">
        <f>VLOOKUP(Tabelle4[[#This Row],[Key]],'3. Unique Results'!A:X,3,FALSE)</f>
        <v>2022</v>
      </c>
      <c r="D39" t="str">
        <f>VLOOKUP(Tabelle4[[#This Row],[Key]],'3. Unique Results'!A:X,4,FALSE)</f>
        <v>Yoo, Yeongmin; Park, Chang-Kyu; Lee, Jongsoo</v>
      </c>
      <c r="E39" t="str">
        <f>VLOOKUP(Tabelle4[[#This Row],[Key]],'3. Unique Results'!A:X,5,FALSE)</f>
        <v>Deep learning-based efficient metamodeling via domain knowledge-integrated designable data augmentation with transfer learning: application to vehicle crash safety</v>
      </c>
      <c r="F39" t="str">
        <f>VLOOKUP(Tabelle4[[#This Row],[Key]],'3. Unique Results'!A:X,6,FALSE)</f>
        <v>Structural and Multidisciplinary Optimization</v>
      </c>
      <c r="G39" t="str">
        <f>VLOOKUP(Tabelle4[[#This Row],[Key]],'3. Unique Results'!A:X,7,FALSE)</f>
        <v/>
      </c>
      <c r="H39" t="str">
        <f>VLOOKUP(Tabelle4[[#This Row],[Key]],'3. Unique Results'!A:X,8,FALSE)</f>
        <v>1615-147X, 1615-1488</v>
      </c>
      <c r="I39" t="str">
        <f>VLOOKUP(Tabelle4[[#This Row],[Key]],'3. Unique Results'!A:X,9,FALSE)</f>
        <v>10.1007/s00158-022-03290-1</v>
      </c>
      <c r="J39" t="str">
        <f>VLOOKUP(Tabelle4[[#This Row],[Key]],'3. Unique Results'!A:X,10,FALSE)</f>
        <v>https://link.springer.com/10.1007/s00158-022-03290-1</v>
      </c>
      <c r="K39" t="str">
        <f>VLOOKUP(Tabelle4[[#This Row],[Key]],'3. Unique Results'!A:X,11,FALSE)</f>
        <v>2022-07</v>
      </c>
      <c r="L39">
        <f>VLOOKUP(Tabelle4[[#This Row],[Key]],'3. Unique Results'!A:X,12,FALSE)</f>
        <v>44887.363807870373</v>
      </c>
      <c r="M39" s="17">
        <f>VLOOKUP(Tabelle4[[#This Row],[Key]],'3. Unique Results'!A:X,13,FALSE)</f>
        <v>44887.363807870373</v>
      </c>
      <c r="N39" s="17">
        <f>VLOOKUP(Tabelle4[[#This Row],[Key]],'3. Unique Results'!A:X,14,FALSE)</f>
        <v>44886.598078703704</v>
      </c>
      <c r="O39" t="str">
        <f>VLOOKUP(Tabelle4[[#This Row],[Key]],'3. Unique Results'!A:X,15,FALSE)</f>
        <v>189</v>
      </c>
      <c r="P39" t="str">
        <f>VLOOKUP(Tabelle4[[#This Row],[Key]],'3. Unique Results'!A:X,16,FALSE)</f>
        <v>7</v>
      </c>
      <c r="Q39" t="str">
        <f>VLOOKUP(Tabelle4[[#This Row],[Key]],'3. Unique Results'!A:X,17,FALSE)</f>
        <v>65</v>
      </c>
      <c r="R39" t="str">
        <f>VLOOKUP(Tabelle4[[#This Row],[Key]],'3. Unique Results'!A:X,18,FALSE)</f>
        <v>Struct Multidisc Optim</v>
      </c>
      <c r="S39" t="str">
        <f>VLOOKUP(Tabelle4[[#This Row],[Key]],'3. Unique Results'!A:X,19,FALSE)</f>
        <v>Deep learning-based efficient metamodeling via domain knowledge-integrated designable data augmentation with transfer learning</v>
      </c>
      <c r="T39" t="str">
        <f>VLOOKUP(Tabelle4[[#This Row],[Key]],'3. Unique Results'!A:X,20,FALSE)</f>
        <v/>
      </c>
      <c r="U39" t="str">
        <f>VLOOKUP(Tabelle4[[#This Row],[Key]],'3. Unique Results'!A:X,21,FALSE)</f>
        <v/>
      </c>
      <c r="V39" t="str">
        <f>VLOOKUP(Tabelle4[[#This Row],[Key]],'3. Unique Results'!A:X,22,FALSE)</f>
        <v>en</v>
      </c>
      <c r="W39" t="str">
        <f>VLOOKUP(Tabelle4[[#This Row],[Key]],'3. Unique Results'!A:X,23,FALSE)</f>
        <v>DOI.org (Crossref)</v>
      </c>
    </row>
    <row r="40" spans="1:23">
      <c r="A40" t="s">
        <v>5809</v>
      </c>
      <c r="B40" t="str">
        <f>VLOOKUP(Tabelle4[[#This Row],[Key]],'3. Unique Results'!A:X,2,FALSE)</f>
        <v>conferencePaper</v>
      </c>
      <c r="C40">
        <f>VLOOKUP(Tabelle4[[#This Row],[Key]],'3. Unique Results'!A:X,3,FALSE)</f>
        <v>2021</v>
      </c>
      <c r="D40" t="str">
        <f>VLOOKUP(Tabelle4[[#This Row],[Key]],'3. Unique Results'!A:X,4,FALSE)</f>
        <v>Saouma, Victor E.; Hariri-Ardebili, M. Amin; Saouma, Victor E.; Hariri-Ardebili, M. Amin</v>
      </c>
      <c r="E40" t="str">
        <f>VLOOKUP(Tabelle4[[#This Row],[Key]],'3. Unique Results'!A:X,5,FALSE)</f>
        <v>Metamodeling and Machine Learning</v>
      </c>
      <c r="F40" t="str">
        <f>VLOOKUP(Tabelle4[[#This Row],[Key]],'3. Unique Results'!A:X,6,FALSE)</f>
        <v>Aging, Shaking, and Cracking of Infrastructures</v>
      </c>
      <c r="G40" t="str">
        <f>VLOOKUP(Tabelle4[[#This Row],[Key]],'3. Unique Results'!A:X,7,FALSE)</f>
        <v>978-3-030-57433-8 978-3-030-57434-5</v>
      </c>
      <c r="H40" t="str">
        <f>VLOOKUP(Tabelle4[[#This Row],[Key]],'3. Unique Results'!A:X,8,FALSE)</f>
        <v/>
      </c>
      <c r="I40" t="str">
        <f>VLOOKUP(Tabelle4[[#This Row],[Key]],'3. Unique Results'!A:X,9,FALSE)</f>
        <v/>
      </c>
      <c r="J40" t="str">
        <f>VLOOKUP(Tabelle4[[#This Row],[Key]],'3. Unique Results'!A:X,10,FALSE)</f>
        <v>https://link.springer.com/10.1007/978-3-030-57434-5_20</v>
      </c>
      <c r="K40" t="str">
        <f>VLOOKUP(Tabelle4[[#This Row],[Key]],'3. Unique Results'!A:X,11,FALSE)</f>
        <v>2021</v>
      </c>
      <c r="L40">
        <f>VLOOKUP(Tabelle4[[#This Row],[Key]],'3. Unique Results'!A:X,12,FALSE)</f>
        <v>44887.363807870373</v>
      </c>
      <c r="M40" s="17">
        <f>VLOOKUP(Tabelle4[[#This Row],[Key]],'3. Unique Results'!A:X,13,FALSE)</f>
        <v>44887.363807870373</v>
      </c>
      <c r="N40" s="17">
        <f>VLOOKUP(Tabelle4[[#This Row],[Key]],'3. Unique Results'!A:X,14,FALSE)</f>
        <v>44886.598263888889</v>
      </c>
      <c r="O40" t="str">
        <f>VLOOKUP(Tabelle4[[#This Row],[Key]],'3. Unique Results'!A:X,15,FALSE)</f>
        <v>485-515</v>
      </c>
      <c r="P40" t="str">
        <f>VLOOKUP(Tabelle4[[#This Row],[Key]],'3. Unique Results'!A:X,16,FALSE)</f>
        <v/>
      </c>
      <c r="Q40" t="str">
        <f>VLOOKUP(Tabelle4[[#This Row],[Key]],'3. Unique Results'!A:X,17,FALSE)</f>
        <v/>
      </c>
      <c r="R40" t="str">
        <f>VLOOKUP(Tabelle4[[#This Row],[Key]],'3. Unique Results'!A:X,18,FALSE)</f>
        <v/>
      </c>
      <c r="S40" t="str">
        <f>VLOOKUP(Tabelle4[[#This Row],[Key]],'3. Unique Results'!A:X,19,FALSE)</f>
        <v/>
      </c>
      <c r="T40" t="str">
        <f>VLOOKUP(Tabelle4[[#This Row],[Key]],'3. Unique Results'!A:X,20,FALSE)</f>
        <v>Springer International Publishing</v>
      </c>
      <c r="U40" t="str">
        <f>VLOOKUP(Tabelle4[[#This Row],[Key]],'3. Unique Results'!A:X,21,FALSE)</f>
        <v>Cham</v>
      </c>
      <c r="V40" t="str">
        <f>VLOOKUP(Tabelle4[[#This Row],[Key]],'3. Unique Results'!A:X,22,FALSE)</f>
        <v>en</v>
      </c>
      <c r="W40" t="str">
        <f>VLOOKUP(Tabelle4[[#This Row],[Key]],'3. Unique Results'!A:X,23,FALSE)</f>
        <v>DOI.org (Crossref)</v>
      </c>
    </row>
    <row r="41" spans="1:23">
      <c r="A41" t="s">
        <v>5810</v>
      </c>
      <c r="B41" t="str">
        <f>VLOOKUP(Tabelle4[[#This Row],[Key]],'3. Unique Results'!A:X,2,FALSE)</f>
        <v>journalArticle</v>
      </c>
      <c r="C41">
        <f>VLOOKUP(Tabelle4[[#This Row],[Key]],'3. Unique Results'!A:X,3,FALSE)</f>
        <v>2020</v>
      </c>
      <c r="D41" t="str">
        <f>VLOOKUP(Tabelle4[[#This Row],[Key]],'3. Unique Results'!A:X,4,FALSE)</f>
        <v>Poroor, Jayaraj</v>
      </c>
      <c r="E41" t="str">
        <f>VLOOKUP(Tabelle4[[#This Row],[Key]],'3. Unique Results'!A:X,5,FALSE)</f>
        <v>MotePy: A domain specific language for low-overhead machine learning and data processing</v>
      </c>
      <c r="F41" t="str">
        <f>VLOOKUP(Tabelle4[[#This Row],[Key]],'3. Unique Results'!A:X,6,FALSE)</f>
        <v>CoRR</v>
      </c>
      <c r="G41" t="str">
        <f>VLOOKUP(Tabelle4[[#This Row],[Key]],'3. Unique Results'!A:X,7,FALSE)</f>
        <v/>
      </c>
      <c r="H41" t="str">
        <f>VLOOKUP(Tabelle4[[#This Row],[Key]],'3. Unique Results'!A:X,8,FALSE)</f>
        <v/>
      </c>
      <c r="I41" t="str">
        <f>VLOOKUP(Tabelle4[[#This Row],[Key]],'3. Unique Results'!A:X,9,FALSE)</f>
        <v/>
      </c>
      <c r="J41" t="str">
        <f>VLOOKUP(Tabelle4[[#This Row],[Key]],'3. Unique Results'!A:X,10,FALSE)</f>
        <v>https://arxiv.org/abs/2011.05194</v>
      </c>
      <c r="K41" t="str">
        <f>VLOOKUP(Tabelle4[[#This Row],[Key]],'3. Unique Results'!A:X,11,FALSE)</f>
        <v>2020</v>
      </c>
      <c r="L41">
        <f>VLOOKUP(Tabelle4[[#This Row],[Key]],'3. Unique Results'!A:X,12,FALSE)</f>
        <v>44887.363807870373</v>
      </c>
      <c r="M41" s="17">
        <f>VLOOKUP(Tabelle4[[#This Row],[Key]],'3. Unique Results'!A:X,13,FALSE)</f>
        <v>44887.363807870373</v>
      </c>
      <c r="N41" s="17">
        <f>VLOOKUP(Tabelle4[[#This Row],[Key]],'3. Unique Results'!A:X,14,FALSE)</f>
        <v>0</v>
      </c>
      <c r="O41" t="str">
        <f>VLOOKUP(Tabelle4[[#This Row],[Key]],'3. Unique Results'!A:X,15,FALSE)</f>
        <v/>
      </c>
      <c r="P41" t="str">
        <f>VLOOKUP(Tabelle4[[#This Row],[Key]],'3. Unique Results'!A:X,16,FALSE)</f>
        <v/>
      </c>
      <c r="Q41" t="str">
        <f>VLOOKUP(Tabelle4[[#This Row],[Key]],'3. Unique Results'!A:X,17,FALSE)</f>
        <v>abs/2011.05194</v>
      </c>
      <c r="R41" t="str">
        <f>VLOOKUP(Tabelle4[[#This Row],[Key]],'3. Unique Results'!A:X,18,FALSE)</f>
        <v/>
      </c>
      <c r="S41" t="str">
        <f>VLOOKUP(Tabelle4[[#This Row],[Key]],'3. Unique Results'!A:X,19,FALSE)</f>
        <v/>
      </c>
      <c r="T41" t="str">
        <f>VLOOKUP(Tabelle4[[#This Row],[Key]],'3. Unique Results'!A:X,20,FALSE)</f>
        <v/>
      </c>
      <c r="U41" t="str">
        <f>VLOOKUP(Tabelle4[[#This Row],[Key]],'3. Unique Results'!A:X,21,FALSE)</f>
        <v/>
      </c>
      <c r="V41" t="str">
        <f>VLOOKUP(Tabelle4[[#This Row],[Key]],'3. Unique Results'!A:X,22,FALSE)</f>
        <v/>
      </c>
      <c r="W41" t="str">
        <f>VLOOKUP(Tabelle4[[#This Row],[Key]],'3. Unique Results'!A:X,23,FALSE)</f>
        <v/>
      </c>
    </row>
    <row r="42" spans="1:23">
      <c r="A42" t="s">
        <v>5812</v>
      </c>
      <c r="B42" t="str">
        <f>VLOOKUP(Tabelle4[[#This Row],[Key]],'3. Unique Results'!A:X,2,FALSE)</f>
        <v>journalArticle</v>
      </c>
      <c r="C42">
        <f>VLOOKUP(Tabelle4[[#This Row],[Key]],'3. Unique Results'!A:X,3,FALSE)</f>
        <v>2013</v>
      </c>
      <c r="D42" t="str">
        <f>VLOOKUP(Tabelle4[[#This Row],[Key]],'3. Unique Results'!A:X,4,FALSE)</f>
        <v>Hermida, Jesús M.; Meliá, Santiago; Montoyo, Andrés; Gómez, Jaime</v>
      </c>
      <c r="E42" t="str">
        <f>VLOOKUP(Tabelle4[[#This Row],[Key]],'3. Unique Results'!A:X,5,FALSE)</f>
        <v>Applying model-driven engineering to the development of Rich Internet Applications for Business Intelligence</v>
      </c>
      <c r="F42" t="str">
        <f>VLOOKUP(Tabelle4[[#This Row],[Key]],'3. Unique Results'!A:X,6,FALSE)</f>
        <v>Information Systems Frontiers</v>
      </c>
      <c r="G42" t="str">
        <f>VLOOKUP(Tabelle4[[#This Row],[Key]],'3. Unique Results'!A:X,7,FALSE)</f>
        <v/>
      </c>
      <c r="H42" t="str">
        <f>VLOOKUP(Tabelle4[[#This Row],[Key]],'3. Unique Results'!A:X,8,FALSE)</f>
        <v>1387-3326, 1572-9419</v>
      </c>
      <c r="I42" t="str">
        <f>VLOOKUP(Tabelle4[[#This Row],[Key]],'3. Unique Results'!A:X,9,FALSE)</f>
        <v>10.1007/s10796-012-9402-9</v>
      </c>
      <c r="J42" t="str">
        <f>VLOOKUP(Tabelle4[[#This Row],[Key]],'3. Unique Results'!A:X,10,FALSE)</f>
        <v>http://link.springer.com/10.1007/s10796-012-9402-9</v>
      </c>
      <c r="K42" t="str">
        <f>VLOOKUP(Tabelle4[[#This Row],[Key]],'3. Unique Results'!A:X,11,FALSE)</f>
        <v>2013-07</v>
      </c>
      <c r="L42">
        <f>VLOOKUP(Tabelle4[[#This Row],[Key]],'3. Unique Results'!A:X,12,FALSE)</f>
        <v>44887.363807870373</v>
      </c>
      <c r="M42" s="17">
        <f>VLOOKUP(Tabelle4[[#This Row],[Key]],'3. Unique Results'!A:X,13,FALSE)</f>
        <v>44887.363807870373</v>
      </c>
      <c r="N42" s="17">
        <f>VLOOKUP(Tabelle4[[#This Row],[Key]],'3. Unique Results'!A:X,14,FALSE)</f>
        <v>44886.598449074074</v>
      </c>
      <c r="O42" t="str">
        <f>VLOOKUP(Tabelle4[[#This Row],[Key]],'3. Unique Results'!A:X,15,FALSE)</f>
        <v>411-431</v>
      </c>
      <c r="P42" t="str">
        <f>VLOOKUP(Tabelle4[[#This Row],[Key]],'3. Unique Results'!A:X,16,FALSE)</f>
        <v>3</v>
      </c>
      <c r="Q42" t="str">
        <f>VLOOKUP(Tabelle4[[#This Row],[Key]],'3. Unique Results'!A:X,17,FALSE)</f>
        <v>15</v>
      </c>
      <c r="R42" t="str">
        <f>VLOOKUP(Tabelle4[[#This Row],[Key]],'3. Unique Results'!A:X,18,FALSE)</f>
        <v>Inf Syst Front</v>
      </c>
      <c r="S42" t="str">
        <f>VLOOKUP(Tabelle4[[#This Row],[Key]],'3. Unique Results'!A:X,19,FALSE)</f>
        <v/>
      </c>
      <c r="T42" t="str">
        <f>VLOOKUP(Tabelle4[[#This Row],[Key]],'3. Unique Results'!A:X,20,FALSE)</f>
        <v/>
      </c>
      <c r="U42" t="str">
        <f>VLOOKUP(Tabelle4[[#This Row],[Key]],'3. Unique Results'!A:X,21,FALSE)</f>
        <v/>
      </c>
      <c r="V42" t="str">
        <f>VLOOKUP(Tabelle4[[#This Row],[Key]],'3. Unique Results'!A:X,22,FALSE)</f>
        <v>en</v>
      </c>
      <c r="W42" t="str">
        <f>VLOOKUP(Tabelle4[[#This Row],[Key]],'3. Unique Results'!A:X,23,FALSE)</f>
        <v>DOI.org (Crossref)</v>
      </c>
    </row>
    <row r="43" spans="1:23">
      <c r="A43" t="s">
        <v>5814</v>
      </c>
      <c r="B43" t="str">
        <f>VLOOKUP(Tabelle4[[#This Row],[Key]],'3. Unique Results'!A:X,2,FALSE)</f>
        <v>conferencePaper</v>
      </c>
      <c r="C43">
        <f>VLOOKUP(Tabelle4[[#This Row],[Key]],'3. Unique Results'!A:X,3,FALSE)</f>
        <v>2011</v>
      </c>
      <c r="D43" t="str">
        <f>VLOOKUP(Tabelle4[[#This Row],[Key]],'3. Unique Results'!A:X,4,FALSE)</f>
        <v>Binder, Walter; Moret, Philippe; Ansaloni, Danilo; Sarimbekov, Aibek; Yokokawa, Akira; Tanter, Éric</v>
      </c>
      <c r="E43" t="str">
        <f>VLOOKUP(Tabelle4[[#This Row],[Key]],'3. Unique Results'!A:X,5,FALSE)</f>
        <v>Towards a domain-specific aspect language for dynamic program analysis: position paper</v>
      </c>
      <c r="F43" t="str">
        <f>VLOOKUP(Tabelle4[[#This Row],[Key]],'3. Unique Results'!A:X,6,FALSE)</f>
        <v>Proceedings of the sixth annual workshop on Domain-specific aspect languages, DSAL '11, Porto de Galinhas, Brazil, March 21, 2011</v>
      </c>
      <c r="G43" t="str">
        <f>VLOOKUP(Tabelle4[[#This Row],[Key]],'3. Unique Results'!A:X,7,FALSE)</f>
        <v/>
      </c>
      <c r="H43" t="str">
        <f>VLOOKUP(Tabelle4[[#This Row],[Key]],'3. Unique Results'!A:X,8,FALSE)</f>
        <v/>
      </c>
      <c r="I43" t="str">
        <f>VLOOKUP(Tabelle4[[#This Row],[Key]],'3. Unique Results'!A:X,9,FALSE)</f>
        <v>10.1145/1960496.1960500</v>
      </c>
      <c r="J43" t="str">
        <f>VLOOKUP(Tabelle4[[#This Row],[Key]],'3. Unique Results'!A:X,10,FALSE)</f>
        <v>https://doi.org/10.1145/1960496.1960500</v>
      </c>
      <c r="K43" t="str">
        <f>VLOOKUP(Tabelle4[[#This Row],[Key]],'3. Unique Results'!A:X,11,FALSE)</f>
        <v>2011</v>
      </c>
      <c r="L43">
        <f>VLOOKUP(Tabelle4[[#This Row],[Key]],'3. Unique Results'!A:X,12,FALSE)</f>
        <v>44887.363807870373</v>
      </c>
      <c r="M43" s="17">
        <f>VLOOKUP(Tabelle4[[#This Row],[Key]],'3. Unique Results'!A:X,13,FALSE)</f>
        <v>44887.363807870373</v>
      </c>
      <c r="N43" s="17">
        <f>VLOOKUP(Tabelle4[[#This Row],[Key]],'3. Unique Results'!A:X,14,FALSE)</f>
        <v>0</v>
      </c>
      <c r="O43" t="str">
        <f>VLOOKUP(Tabelle4[[#This Row],[Key]],'3. Unique Results'!A:X,15,FALSE)</f>
        <v>9–11</v>
      </c>
      <c r="P43" t="str">
        <f>VLOOKUP(Tabelle4[[#This Row],[Key]],'3. Unique Results'!A:X,16,FALSE)</f>
        <v/>
      </c>
      <c r="Q43" t="str">
        <f>VLOOKUP(Tabelle4[[#This Row],[Key]],'3. Unique Results'!A:X,17,FALSE)</f>
        <v/>
      </c>
      <c r="R43" t="str">
        <f>VLOOKUP(Tabelle4[[#This Row],[Key]],'3. Unique Results'!A:X,18,FALSE)</f>
        <v/>
      </c>
      <c r="S43" t="str">
        <f>VLOOKUP(Tabelle4[[#This Row],[Key]],'3. Unique Results'!A:X,19,FALSE)</f>
        <v/>
      </c>
      <c r="T43" t="str">
        <f>VLOOKUP(Tabelle4[[#This Row],[Key]],'3. Unique Results'!A:X,20,FALSE)</f>
        <v>ACM</v>
      </c>
      <c r="U43" t="str">
        <f>VLOOKUP(Tabelle4[[#This Row],[Key]],'3. Unique Results'!A:X,21,FALSE)</f>
        <v/>
      </c>
      <c r="V43" t="str">
        <f>VLOOKUP(Tabelle4[[#This Row],[Key]],'3. Unique Results'!A:X,22,FALSE)</f>
        <v/>
      </c>
      <c r="W43" t="str">
        <f>VLOOKUP(Tabelle4[[#This Row],[Key]],'3. Unique Results'!A:X,23,FALSE)</f>
        <v/>
      </c>
    </row>
    <row r="44" spans="1:23">
      <c r="A44" t="s">
        <v>5816</v>
      </c>
      <c r="B44" t="str">
        <f>VLOOKUP(Tabelle4[[#This Row],[Key]],'3. Unique Results'!A:X,2,FALSE)</f>
        <v>conferencePaper</v>
      </c>
      <c r="C44">
        <f>VLOOKUP(Tabelle4[[#This Row],[Key]],'3. Unique Results'!A:X,3,FALSE)</f>
        <v>2019</v>
      </c>
      <c r="D44" t="str">
        <f>VLOOKUP(Tabelle4[[#This Row],[Key]],'3. Unique Results'!A:X,4,FALSE)</f>
        <v>Iglesias-Urkia, Markel; Gómez, Abel; Casado-Mansilla, Diego; Urbieta, Aitor</v>
      </c>
      <c r="E44" t="str">
        <f>VLOOKUP(Tabelle4[[#This Row],[Key]],'3. Unique Results'!A:X,5,FALSE)</f>
        <v>Enabling easy Web of Things compatible device generation using a Model-Driven Engineering approach</v>
      </c>
      <c r="F44" t="str">
        <f>VLOOKUP(Tabelle4[[#This Row],[Key]],'3. Unique Results'!A:X,6,FALSE)</f>
        <v>Proceedings of the 9th International Conference on the Internet of Things, IoT 2019, Bilbao, Spain, October 22-25, 2019</v>
      </c>
      <c r="G44" t="str">
        <f>VLOOKUP(Tabelle4[[#This Row],[Key]],'3. Unique Results'!A:X,7,FALSE)</f>
        <v/>
      </c>
      <c r="H44" t="str">
        <f>VLOOKUP(Tabelle4[[#This Row],[Key]],'3. Unique Results'!A:X,8,FALSE)</f>
        <v/>
      </c>
      <c r="I44" t="str">
        <f>VLOOKUP(Tabelle4[[#This Row],[Key]],'3. Unique Results'!A:X,9,FALSE)</f>
        <v>10.1145/3365871.3365898</v>
      </c>
      <c r="J44" t="str">
        <f>VLOOKUP(Tabelle4[[#This Row],[Key]],'3. Unique Results'!A:X,10,FALSE)</f>
        <v>https://doi.org/10.1145/3365871.3365898</v>
      </c>
      <c r="K44" t="str">
        <f>VLOOKUP(Tabelle4[[#This Row],[Key]],'3. Unique Results'!A:X,11,FALSE)</f>
        <v>2019</v>
      </c>
      <c r="L44">
        <f>VLOOKUP(Tabelle4[[#This Row],[Key]],'3. Unique Results'!A:X,12,FALSE)</f>
        <v>44887.363807870373</v>
      </c>
      <c r="M44" s="17">
        <f>VLOOKUP(Tabelle4[[#This Row],[Key]],'3. Unique Results'!A:X,13,FALSE)</f>
        <v>44887.363807870373</v>
      </c>
      <c r="N44" s="17">
        <f>VLOOKUP(Tabelle4[[#This Row],[Key]],'3. Unique Results'!A:X,14,FALSE)</f>
        <v>0</v>
      </c>
      <c r="O44" t="str">
        <f>VLOOKUP(Tabelle4[[#This Row],[Key]],'3. Unique Results'!A:X,15,FALSE)</f>
        <v>25:1–25:8</v>
      </c>
      <c r="P44" t="str">
        <f>VLOOKUP(Tabelle4[[#This Row],[Key]],'3. Unique Results'!A:X,16,FALSE)</f>
        <v/>
      </c>
      <c r="Q44" t="str">
        <f>VLOOKUP(Tabelle4[[#This Row],[Key]],'3. Unique Results'!A:X,17,FALSE)</f>
        <v/>
      </c>
      <c r="R44" t="str">
        <f>VLOOKUP(Tabelle4[[#This Row],[Key]],'3. Unique Results'!A:X,18,FALSE)</f>
        <v/>
      </c>
      <c r="S44" t="str">
        <f>VLOOKUP(Tabelle4[[#This Row],[Key]],'3. Unique Results'!A:X,19,FALSE)</f>
        <v/>
      </c>
      <c r="T44" t="str">
        <f>VLOOKUP(Tabelle4[[#This Row],[Key]],'3. Unique Results'!A:X,20,FALSE)</f>
        <v>ACM</v>
      </c>
      <c r="U44" t="str">
        <f>VLOOKUP(Tabelle4[[#This Row],[Key]],'3. Unique Results'!A:X,21,FALSE)</f>
        <v/>
      </c>
      <c r="V44" t="str">
        <f>VLOOKUP(Tabelle4[[#This Row],[Key]],'3. Unique Results'!A:X,22,FALSE)</f>
        <v/>
      </c>
      <c r="W44" t="str">
        <f>VLOOKUP(Tabelle4[[#This Row],[Key]],'3. Unique Results'!A:X,23,FALSE)</f>
        <v/>
      </c>
    </row>
    <row r="45" spans="1:23">
      <c r="A45" t="s">
        <v>5817</v>
      </c>
      <c r="B45" t="str">
        <f>VLOOKUP(Tabelle4[[#This Row],[Key]],'3. Unique Results'!A:X,2,FALSE)</f>
        <v>journalArticle</v>
      </c>
      <c r="C45">
        <f>VLOOKUP(Tabelle4[[#This Row],[Key]],'3. Unique Results'!A:X,3,FALSE)</f>
        <v>2014</v>
      </c>
      <c r="D45" t="str">
        <f>VLOOKUP(Tabelle4[[#This Row],[Key]],'3. Unique Results'!A:X,4,FALSE)</f>
        <v>Ayala, Inmaculada; Amor, Mercedes; Fuentes, Lidia</v>
      </c>
      <c r="E45" t="str">
        <f>VLOOKUP(Tabelle4[[#This Row],[Key]],'3. Unique Results'!A:X,5,FALSE)</f>
        <v>A model driven engineering process of platform neutral agents for ambient intelligence devices</v>
      </c>
      <c r="F45" t="str">
        <f>VLOOKUP(Tabelle4[[#This Row],[Key]],'3. Unique Results'!A:X,6,FALSE)</f>
        <v>Autonomous Agents and Multi-Agent Systems</v>
      </c>
      <c r="G45" t="str">
        <f>VLOOKUP(Tabelle4[[#This Row],[Key]],'3. Unique Results'!A:X,7,FALSE)</f>
        <v/>
      </c>
      <c r="H45" t="str">
        <f>VLOOKUP(Tabelle4[[#This Row],[Key]],'3. Unique Results'!A:X,8,FALSE)</f>
        <v>1387-2532, 1573-7454</v>
      </c>
      <c r="I45" t="str">
        <f>VLOOKUP(Tabelle4[[#This Row],[Key]],'3. Unique Results'!A:X,9,FALSE)</f>
        <v>10.1007/s10458-013-9223-3</v>
      </c>
      <c r="J45" t="str">
        <f>VLOOKUP(Tabelle4[[#This Row],[Key]],'3. Unique Results'!A:X,10,FALSE)</f>
        <v>http://link.springer.com/10.1007/s10458-013-9223-3</v>
      </c>
      <c r="K45" t="str">
        <f>VLOOKUP(Tabelle4[[#This Row],[Key]],'3. Unique Results'!A:X,11,FALSE)</f>
        <v>2014-03</v>
      </c>
      <c r="L45">
        <f>VLOOKUP(Tabelle4[[#This Row],[Key]],'3. Unique Results'!A:X,12,FALSE)</f>
        <v>44887.363807870373</v>
      </c>
      <c r="M45" s="17">
        <f>VLOOKUP(Tabelle4[[#This Row],[Key]],'3. Unique Results'!A:X,13,FALSE)</f>
        <v>44887.363807870373</v>
      </c>
      <c r="N45" s="17">
        <f>VLOOKUP(Tabelle4[[#This Row],[Key]],'3. Unique Results'!A:X,14,FALSE)</f>
        <v>44886.598182870373</v>
      </c>
      <c r="O45" t="str">
        <f>VLOOKUP(Tabelle4[[#This Row],[Key]],'3. Unique Results'!A:X,15,FALSE)</f>
        <v>214-255</v>
      </c>
      <c r="P45" t="str">
        <f>VLOOKUP(Tabelle4[[#This Row],[Key]],'3. Unique Results'!A:X,16,FALSE)</f>
        <v>2</v>
      </c>
      <c r="Q45" t="str">
        <f>VLOOKUP(Tabelle4[[#This Row],[Key]],'3. Unique Results'!A:X,17,FALSE)</f>
        <v>28</v>
      </c>
      <c r="R45" t="str">
        <f>VLOOKUP(Tabelle4[[#This Row],[Key]],'3. Unique Results'!A:X,18,FALSE)</f>
        <v>Auton Agent Multi-Agent Syst</v>
      </c>
      <c r="S45" t="str">
        <f>VLOOKUP(Tabelle4[[#This Row],[Key]],'3. Unique Results'!A:X,19,FALSE)</f>
        <v/>
      </c>
      <c r="T45" t="str">
        <f>VLOOKUP(Tabelle4[[#This Row],[Key]],'3. Unique Results'!A:X,20,FALSE)</f>
        <v/>
      </c>
      <c r="U45" t="str">
        <f>VLOOKUP(Tabelle4[[#This Row],[Key]],'3. Unique Results'!A:X,21,FALSE)</f>
        <v/>
      </c>
      <c r="V45" t="str">
        <f>VLOOKUP(Tabelle4[[#This Row],[Key]],'3. Unique Results'!A:X,22,FALSE)</f>
        <v>en</v>
      </c>
      <c r="W45" t="str">
        <f>VLOOKUP(Tabelle4[[#This Row],[Key]],'3. Unique Results'!A:X,23,FALSE)</f>
        <v>DOI.org (Crossref)</v>
      </c>
    </row>
    <row r="46" spans="1:23">
      <c r="A46" t="s">
        <v>4448</v>
      </c>
      <c r="B46" t="str">
        <f>VLOOKUP(Tabelle4[[#This Row],[Key]],'3. Unique Results'!A:X,2,FALSE)</f>
        <v>journalArticle</v>
      </c>
      <c r="C46">
        <f>VLOOKUP(Tabelle4[[#This Row],[Key]],'3. Unique Results'!A:X,3,FALSE)</f>
        <v>2022</v>
      </c>
      <c r="D46" t="str">
        <f>VLOOKUP(Tabelle4[[#This Row],[Key]],'3. Unique Results'!A:X,4,FALSE)</f>
        <v>Burgueño, Lola; Cabot, Jordi; Wimmer, Manuel; Zschaler, Steffen</v>
      </c>
      <c r="E46" t="str">
        <f>VLOOKUP(Tabelle4[[#This Row],[Key]],'3. Unique Results'!A:X,5,FALSE)</f>
        <v>Guest editorial to the theme section on AI-enhanced model-driven engineering</v>
      </c>
      <c r="F46" t="str">
        <f>VLOOKUP(Tabelle4[[#This Row],[Key]],'3. Unique Results'!A:X,6,FALSE)</f>
        <v>Software and Systems Modeling</v>
      </c>
      <c r="G46" t="str">
        <f>VLOOKUP(Tabelle4[[#This Row],[Key]],'3. Unique Results'!A:X,7,FALSE)</f>
        <v/>
      </c>
      <c r="H46" t="str">
        <f>VLOOKUP(Tabelle4[[#This Row],[Key]],'3. Unique Results'!A:X,8,FALSE)</f>
        <v>1619-1366, 1619-1374</v>
      </c>
      <c r="I46" t="str">
        <f>VLOOKUP(Tabelle4[[#This Row],[Key]],'3. Unique Results'!A:X,9,FALSE)</f>
        <v>10.1007/s10270-022-00988-0</v>
      </c>
      <c r="J46" t="str">
        <f>VLOOKUP(Tabelle4[[#This Row],[Key]],'3. Unique Results'!A:X,10,FALSE)</f>
        <v>https://link.springer.com/10.1007/s10270-022-00988-0</v>
      </c>
      <c r="K46" t="str">
        <f>VLOOKUP(Tabelle4[[#This Row],[Key]],'3. Unique Results'!A:X,11,FALSE)</f>
        <v>2022-06</v>
      </c>
      <c r="L46">
        <f>VLOOKUP(Tabelle4[[#This Row],[Key]],'3. Unique Results'!A:X,12,FALSE)</f>
        <v>44887.363807870373</v>
      </c>
      <c r="M46" s="17">
        <f>VLOOKUP(Tabelle4[[#This Row],[Key]],'3. Unique Results'!A:X,13,FALSE)</f>
        <v>44887.363807870373</v>
      </c>
      <c r="N46" s="17">
        <f>VLOOKUP(Tabelle4[[#This Row],[Key]],'3. Unique Results'!A:X,14,FALSE)</f>
        <v>44886.597951388889</v>
      </c>
      <c r="O46" t="str">
        <f>VLOOKUP(Tabelle4[[#This Row],[Key]],'3. Unique Results'!A:X,15,FALSE)</f>
        <v>963-965</v>
      </c>
      <c r="P46" t="str">
        <f>VLOOKUP(Tabelle4[[#This Row],[Key]],'3. Unique Results'!A:X,16,FALSE)</f>
        <v>3</v>
      </c>
      <c r="Q46" t="str">
        <f>VLOOKUP(Tabelle4[[#This Row],[Key]],'3. Unique Results'!A:X,17,FALSE)</f>
        <v>21</v>
      </c>
      <c r="R46" t="str">
        <f>VLOOKUP(Tabelle4[[#This Row],[Key]],'3. Unique Results'!A:X,18,FALSE)</f>
        <v>Softw Syst Model</v>
      </c>
      <c r="S46" t="str">
        <f>VLOOKUP(Tabelle4[[#This Row],[Key]],'3. Unique Results'!A:X,19,FALSE)</f>
        <v/>
      </c>
      <c r="T46" t="str">
        <f>VLOOKUP(Tabelle4[[#This Row],[Key]],'3. Unique Results'!A:X,20,FALSE)</f>
        <v/>
      </c>
      <c r="U46" t="str">
        <f>VLOOKUP(Tabelle4[[#This Row],[Key]],'3. Unique Results'!A:X,21,FALSE)</f>
        <v/>
      </c>
      <c r="V46" t="str">
        <f>VLOOKUP(Tabelle4[[#This Row],[Key]],'3. Unique Results'!A:X,22,FALSE)</f>
        <v>en</v>
      </c>
      <c r="W46" t="str">
        <f>VLOOKUP(Tabelle4[[#This Row],[Key]],'3. Unique Results'!A:X,23,FALSE)</f>
        <v>DOI.org (Crossref)</v>
      </c>
    </row>
    <row r="47" spans="1:23">
      <c r="A47" t="s">
        <v>5819</v>
      </c>
      <c r="B47" t="str">
        <f>VLOOKUP(Tabelle4[[#This Row],[Key]],'3. Unique Results'!A:X,2,FALSE)</f>
        <v>conferencePaper</v>
      </c>
      <c r="C47">
        <f>VLOOKUP(Tabelle4[[#This Row],[Key]],'3. Unique Results'!A:X,3,FALSE)</f>
        <v>2022</v>
      </c>
      <c r="D47" t="str">
        <f>VLOOKUP(Tabelle4[[#This Row],[Key]],'3. Unique Results'!A:X,4,FALSE)</f>
        <v>Iyenghar, Padma; Otte, Friedrich; Pulvermüller, Elke</v>
      </c>
      <c r="E47" t="str">
        <f>VLOOKUP(Tabelle4[[#This Row],[Key]],'3. Unique Results'!A:X,5,FALSE)</f>
        <v>AI-guided Model-Driven Embedded Software Engineering</v>
      </c>
      <c r="F47" t="str">
        <f>VLOOKUP(Tabelle4[[#This Row],[Key]],'3. Unique Results'!A:X,6,FALSE)</f>
        <v>Proceedings of the 10th International Conference on Model-Driven Engineering and Software Development, MODELSWARD 2022, Online Streaming, February 6-8, 2022</v>
      </c>
      <c r="G47" t="str">
        <f>VLOOKUP(Tabelle4[[#This Row],[Key]],'3. Unique Results'!A:X,7,FALSE)</f>
        <v/>
      </c>
      <c r="H47" t="str">
        <f>VLOOKUP(Tabelle4[[#This Row],[Key]],'3. Unique Results'!A:X,8,FALSE)</f>
        <v/>
      </c>
      <c r="I47" t="str">
        <f>VLOOKUP(Tabelle4[[#This Row],[Key]],'3. Unique Results'!A:X,9,FALSE)</f>
        <v>10.5220/0011006200003119</v>
      </c>
      <c r="J47" t="str">
        <f>VLOOKUP(Tabelle4[[#This Row],[Key]],'3. Unique Results'!A:X,10,FALSE)</f>
        <v>https://doi.org/10.5220/0011006200003119</v>
      </c>
      <c r="K47" t="str">
        <f>VLOOKUP(Tabelle4[[#This Row],[Key]],'3. Unique Results'!A:X,11,FALSE)</f>
        <v>2022</v>
      </c>
      <c r="L47">
        <f>VLOOKUP(Tabelle4[[#This Row],[Key]],'3. Unique Results'!A:X,12,FALSE)</f>
        <v>44887.363807870373</v>
      </c>
      <c r="M47" s="17">
        <f>VLOOKUP(Tabelle4[[#This Row],[Key]],'3. Unique Results'!A:X,13,FALSE)</f>
        <v>44887.363807870373</v>
      </c>
      <c r="N47" s="17">
        <f>VLOOKUP(Tabelle4[[#This Row],[Key]],'3. Unique Results'!A:X,14,FALSE)</f>
        <v>0</v>
      </c>
      <c r="O47" t="str">
        <f>VLOOKUP(Tabelle4[[#This Row],[Key]],'3. Unique Results'!A:X,15,FALSE)</f>
        <v>395–404</v>
      </c>
      <c r="P47" t="str">
        <f>VLOOKUP(Tabelle4[[#This Row],[Key]],'3. Unique Results'!A:X,16,FALSE)</f>
        <v/>
      </c>
      <c r="Q47" t="str">
        <f>VLOOKUP(Tabelle4[[#This Row],[Key]],'3. Unique Results'!A:X,17,FALSE)</f>
        <v/>
      </c>
      <c r="R47" t="str">
        <f>VLOOKUP(Tabelle4[[#This Row],[Key]],'3. Unique Results'!A:X,18,FALSE)</f>
        <v/>
      </c>
      <c r="S47" t="str">
        <f>VLOOKUP(Tabelle4[[#This Row],[Key]],'3. Unique Results'!A:X,19,FALSE)</f>
        <v/>
      </c>
      <c r="T47" t="str">
        <f>VLOOKUP(Tabelle4[[#This Row],[Key]],'3. Unique Results'!A:X,20,FALSE)</f>
        <v>SCITEPRESS</v>
      </c>
      <c r="U47" t="str">
        <f>VLOOKUP(Tabelle4[[#This Row],[Key]],'3. Unique Results'!A:X,21,FALSE)</f>
        <v/>
      </c>
      <c r="V47" t="str">
        <f>VLOOKUP(Tabelle4[[#This Row],[Key]],'3. Unique Results'!A:X,22,FALSE)</f>
        <v/>
      </c>
      <c r="W47" t="str">
        <f>VLOOKUP(Tabelle4[[#This Row],[Key]],'3. Unique Results'!A:X,23,FALSE)</f>
        <v/>
      </c>
    </row>
    <row r="48" spans="1:23">
      <c r="A48" t="s">
        <v>4449</v>
      </c>
      <c r="B48" t="str">
        <f>VLOOKUP(Tabelle4[[#This Row],[Key]],'3. Unique Results'!A:X,2,FALSE)</f>
        <v>conferencePaper</v>
      </c>
      <c r="C48">
        <f>VLOOKUP(Tabelle4[[#This Row],[Key]],'3. Unique Results'!A:X,3,FALSE)</f>
        <v>2022</v>
      </c>
      <c r="D48" t="str">
        <f>VLOOKUP(Tabelle4[[#This Row],[Key]],'3. Unique Results'!A:X,4,FALSE)</f>
        <v>Moin, Armin; Challenger, Moharram; Badii, Atta; Günnemann, Stephan</v>
      </c>
      <c r="E48" t="str">
        <f>VLOOKUP(Tabelle4[[#This Row],[Key]],'3. Unique Results'!A:X,5,FALSE)</f>
        <v>Towards Model-Driven Engineering for Quantum AI</v>
      </c>
      <c r="F48" t="str">
        <f>VLOOKUP(Tabelle4[[#This Row],[Key]],'3. Unique Results'!A:X,6,FALSE)</f>
        <v>52. Jahrestagung der Gesellschaft für Informatik, INFORMATIK 2022, Informatik in den Naturwissenschaften, 26. - 30. September 2022, Hamburg</v>
      </c>
      <c r="G48" t="str">
        <f>VLOOKUP(Tabelle4[[#This Row],[Key]],'3. Unique Results'!A:X,7,FALSE)</f>
        <v/>
      </c>
      <c r="H48" t="str">
        <f>VLOOKUP(Tabelle4[[#This Row],[Key]],'3. Unique Results'!A:X,8,FALSE)</f>
        <v/>
      </c>
      <c r="I48" t="str">
        <f>VLOOKUP(Tabelle4[[#This Row],[Key]],'3. Unique Results'!A:X,9,FALSE)</f>
        <v>10.18420/inf2022_95</v>
      </c>
      <c r="J48" t="str">
        <f>VLOOKUP(Tabelle4[[#This Row],[Key]],'3. Unique Results'!A:X,10,FALSE)</f>
        <v>https://doi.org/10.18420/inf2022\_95</v>
      </c>
      <c r="K48" t="str">
        <f>VLOOKUP(Tabelle4[[#This Row],[Key]],'3. Unique Results'!A:X,11,FALSE)</f>
        <v>2022</v>
      </c>
      <c r="L48">
        <f>VLOOKUP(Tabelle4[[#This Row],[Key]],'3. Unique Results'!A:X,12,FALSE)</f>
        <v>44887.363807870373</v>
      </c>
      <c r="M48" s="17">
        <f>VLOOKUP(Tabelle4[[#This Row],[Key]],'3. Unique Results'!A:X,13,FALSE)</f>
        <v>44887.363807870373</v>
      </c>
      <c r="N48" s="17">
        <f>VLOOKUP(Tabelle4[[#This Row],[Key]],'3. Unique Results'!A:X,14,FALSE)</f>
        <v>0</v>
      </c>
      <c r="O48" t="str">
        <f>VLOOKUP(Tabelle4[[#This Row],[Key]],'3. Unique Results'!A:X,15,FALSE)</f>
        <v>1121–1131</v>
      </c>
      <c r="P48" t="str">
        <f>VLOOKUP(Tabelle4[[#This Row],[Key]],'3. Unique Results'!A:X,16,FALSE)</f>
        <v/>
      </c>
      <c r="Q48" t="str">
        <f>VLOOKUP(Tabelle4[[#This Row],[Key]],'3. Unique Results'!A:X,17,FALSE)</f>
        <v>P-326</v>
      </c>
      <c r="R48" t="str">
        <f>VLOOKUP(Tabelle4[[#This Row],[Key]],'3. Unique Results'!A:X,18,FALSE)</f>
        <v/>
      </c>
      <c r="S48" t="str">
        <f>VLOOKUP(Tabelle4[[#This Row],[Key]],'3. Unique Results'!A:X,19,FALSE)</f>
        <v/>
      </c>
      <c r="T48" t="str">
        <f>VLOOKUP(Tabelle4[[#This Row],[Key]],'3. Unique Results'!A:X,20,FALSE)</f>
        <v>Gesellschaft für Informatik, Bonn</v>
      </c>
      <c r="U48" t="str">
        <f>VLOOKUP(Tabelle4[[#This Row],[Key]],'3. Unique Results'!A:X,21,FALSE)</f>
        <v/>
      </c>
      <c r="V48" t="str">
        <f>VLOOKUP(Tabelle4[[#This Row],[Key]],'3. Unique Results'!A:X,22,FALSE)</f>
        <v/>
      </c>
      <c r="W48" t="str">
        <f>VLOOKUP(Tabelle4[[#This Row],[Key]],'3. Unique Results'!A:X,23,FALSE)</f>
        <v/>
      </c>
    </row>
    <row r="49" spans="1:23">
      <c r="A49" t="s">
        <v>5823</v>
      </c>
      <c r="B49" t="str">
        <f>VLOOKUP(Tabelle4[[#This Row],[Key]],'3. Unique Results'!A:X,2,FALSE)</f>
        <v>conferencePaper</v>
      </c>
      <c r="C49">
        <f>VLOOKUP(Tabelle4[[#This Row],[Key]],'3. Unique Results'!A:X,3,FALSE)</f>
        <v>2008</v>
      </c>
      <c r="D49" t="str">
        <f>VLOOKUP(Tabelle4[[#This Row],[Key]],'3. Unique Results'!A:X,4,FALSE)</f>
        <v>Fernández-Fernández, Héctor; Palacios-González, Elías; García-Díaz, Vicente; García-Bustelo, B. Cristina Pelayo; Lovelle, Juan Manuel Cueva</v>
      </c>
      <c r="E49" t="str">
        <f>VLOOKUP(Tabelle4[[#This Row],[Key]],'3. Unique Results'!A:X,5,FALSE)</f>
        <v>Design of intelligent business applications based in BPM and MDE</v>
      </c>
      <c r="F49" t="str">
        <f>VLOOKUP(Tabelle4[[#This Row],[Key]],'3. Unique Results'!A:X,6,FALSE)</f>
        <v>Proceedings of the 2008 International Conference on Artificial Intelligence, ICAI 2008, July 14-17, 2008, Las Vegas, Nevada, USA, 2 Volumes (includes the 2008 International Conference on Machine Learning; Models, Technologies and Applications)</v>
      </c>
      <c r="G49" t="str">
        <f>VLOOKUP(Tabelle4[[#This Row],[Key]],'3. Unique Results'!A:X,7,FALSE)</f>
        <v/>
      </c>
      <c r="H49" t="str">
        <f>VLOOKUP(Tabelle4[[#This Row],[Key]],'3. Unique Results'!A:X,8,FALSE)</f>
        <v/>
      </c>
      <c r="I49" t="str">
        <f>VLOOKUP(Tabelle4[[#This Row],[Key]],'3. Unique Results'!A:X,9,FALSE)</f>
        <v/>
      </c>
      <c r="J49" t="str">
        <f>VLOOKUP(Tabelle4[[#This Row],[Key]],'3. Unique Results'!A:X,10,FALSE)</f>
        <v/>
      </c>
      <c r="K49" t="str">
        <f>VLOOKUP(Tabelle4[[#This Row],[Key]],'3. Unique Results'!A:X,11,FALSE)</f>
        <v>2008</v>
      </c>
      <c r="L49">
        <f>VLOOKUP(Tabelle4[[#This Row],[Key]],'3. Unique Results'!A:X,12,FALSE)</f>
        <v>44887.363807870373</v>
      </c>
      <c r="M49" s="17">
        <f>VLOOKUP(Tabelle4[[#This Row],[Key]],'3. Unique Results'!A:X,13,FALSE)</f>
        <v>44887.363807870373</v>
      </c>
      <c r="N49" s="17">
        <f>VLOOKUP(Tabelle4[[#This Row],[Key]],'3. Unique Results'!A:X,14,FALSE)</f>
        <v>0</v>
      </c>
      <c r="O49" t="str">
        <f>VLOOKUP(Tabelle4[[#This Row],[Key]],'3. Unique Results'!A:X,15,FALSE)</f>
        <v>591–597</v>
      </c>
      <c r="P49" t="str">
        <f>VLOOKUP(Tabelle4[[#This Row],[Key]],'3. Unique Results'!A:X,16,FALSE)</f>
        <v/>
      </c>
      <c r="Q49" t="str">
        <f>VLOOKUP(Tabelle4[[#This Row],[Key]],'3. Unique Results'!A:X,17,FALSE)</f>
        <v/>
      </c>
      <c r="R49" t="str">
        <f>VLOOKUP(Tabelle4[[#This Row],[Key]],'3. Unique Results'!A:X,18,FALSE)</f>
        <v/>
      </c>
      <c r="S49" t="str">
        <f>VLOOKUP(Tabelle4[[#This Row],[Key]],'3. Unique Results'!A:X,19,FALSE)</f>
        <v/>
      </c>
      <c r="T49" t="str">
        <f>VLOOKUP(Tabelle4[[#This Row],[Key]],'3. Unique Results'!A:X,20,FALSE)</f>
        <v>CSREA Press</v>
      </c>
      <c r="U49" t="str">
        <f>VLOOKUP(Tabelle4[[#This Row],[Key]],'3. Unique Results'!A:X,21,FALSE)</f>
        <v/>
      </c>
      <c r="V49" t="str">
        <f>VLOOKUP(Tabelle4[[#This Row],[Key]],'3. Unique Results'!A:X,22,FALSE)</f>
        <v/>
      </c>
      <c r="W49" t="str">
        <f>VLOOKUP(Tabelle4[[#This Row],[Key]],'3. Unique Results'!A:X,23,FALSE)</f>
        <v/>
      </c>
    </row>
    <row r="50" spans="1:23">
      <c r="A50" t="s">
        <v>5825</v>
      </c>
      <c r="B50" t="str">
        <f>VLOOKUP(Tabelle4[[#This Row],[Key]],'3. Unique Results'!A:X,2,FALSE)</f>
        <v>conferencePaper</v>
      </c>
      <c r="C50">
        <f>VLOOKUP(Tabelle4[[#This Row],[Key]],'3. Unique Results'!A:X,3,FALSE)</f>
        <v>2009</v>
      </c>
      <c r="D50" t="str">
        <f>VLOOKUP(Tabelle4[[#This Row],[Key]],'3. Unique Results'!A:X,4,FALSE)</f>
        <v>Fernández, Gloria García; Palacio, Daniel Zapico; Crespo, Rubén González; Tolosa, José Barranquero; Lovelle, Juan Manuel Cueva</v>
      </c>
      <c r="E50" t="str">
        <f>VLOOKUP(Tabelle4[[#This Row],[Key]],'3. Unique Results'!A:X,5,FALSE)</f>
        <v>Automatic Device Driver Development through an Intelligent MDE Approach</v>
      </c>
      <c r="F50" t="str">
        <f>VLOOKUP(Tabelle4[[#This Row],[Key]],'3. Unique Results'!A:X,6,FALSE)</f>
        <v>Proceedings of the 2009 International Conference on Artificial Intelligence, ICAI 2009, July 13-16, 2009, Las Vegas Nevada, USA, 2 Volumes</v>
      </c>
      <c r="G50" t="str">
        <f>VLOOKUP(Tabelle4[[#This Row],[Key]],'3. Unique Results'!A:X,7,FALSE)</f>
        <v/>
      </c>
      <c r="H50" t="str">
        <f>VLOOKUP(Tabelle4[[#This Row],[Key]],'3. Unique Results'!A:X,8,FALSE)</f>
        <v/>
      </c>
      <c r="I50" t="str">
        <f>VLOOKUP(Tabelle4[[#This Row],[Key]],'3. Unique Results'!A:X,9,FALSE)</f>
        <v/>
      </c>
      <c r="J50" t="str">
        <f>VLOOKUP(Tabelle4[[#This Row],[Key]],'3. Unique Results'!A:X,10,FALSE)</f>
        <v/>
      </c>
      <c r="K50" t="str">
        <f>VLOOKUP(Tabelle4[[#This Row],[Key]],'3. Unique Results'!A:X,11,FALSE)</f>
        <v>2009</v>
      </c>
      <c r="L50">
        <f>VLOOKUP(Tabelle4[[#This Row],[Key]],'3. Unique Results'!A:X,12,FALSE)</f>
        <v>44887.363807870373</v>
      </c>
      <c r="M50" s="17">
        <f>VLOOKUP(Tabelle4[[#This Row],[Key]],'3. Unique Results'!A:X,13,FALSE)</f>
        <v>44887.363807870373</v>
      </c>
      <c r="N50" s="17">
        <f>VLOOKUP(Tabelle4[[#This Row],[Key]],'3. Unique Results'!A:X,14,FALSE)</f>
        <v>0</v>
      </c>
      <c r="O50" t="str">
        <f>VLOOKUP(Tabelle4[[#This Row],[Key]],'3. Unique Results'!A:X,15,FALSE)</f>
        <v>864–870</v>
      </c>
      <c r="P50" t="str">
        <f>VLOOKUP(Tabelle4[[#This Row],[Key]],'3. Unique Results'!A:X,16,FALSE)</f>
        <v/>
      </c>
      <c r="Q50" t="str">
        <f>VLOOKUP(Tabelle4[[#This Row],[Key]],'3. Unique Results'!A:X,17,FALSE)</f>
        <v/>
      </c>
      <c r="R50" t="str">
        <f>VLOOKUP(Tabelle4[[#This Row],[Key]],'3. Unique Results'!A:X,18,FALSE)</f>
        <v/>
      </c>
      <c r="S50" t="str">
        <f>VLOOKUP(Tabelle4[[#This Row],[Key]],'3. Unique Results'!A:X,19,FALSE)</f>
        <v/>
      </c>
      <c r="T50" t="str">
        <f>VLOOKUP(Tabelle4[[#This Row],[Key]],'3. Unique Results'!A:X,20,FALSE)</f>
        <v>CSREA Press</v>
      </c>
      <c r="U50" t="str">
        <f>VLOOKUP(Tabelle4[[#This Row],[Key]],'3. Unique Results'!A:X,21,FALSE)</f>
        <v/>
      </c>
      <c r="V50" t="str">
        <f>VLOOKUP(Tabelle4[[#This Row],[Key]],'3. Unique Results'!A:X,22,FALSE)</f>
        <v/>
      </c>
      <c r="W50" t="str">
        <f>VLOOKUP(Tabelle4[[#This Row],[Key]],'3. Unique Results'!A:X,23,FALSE)</f>
        <v/>
      </c>
    </row>
    <row r="51" spans="1:23">
      <c r="A51" t="s">
        <v>5827</v>
      </c>
      <c r="B51" t="str">
        <f>VLOOKUP(Tabelle4[[#This Row],[Key]],'3. Unique Results'!A:X,2,FALSE)</f>
        <v>conferencePaper</v>
      </c>
      <c r="C51">
        <f>VLOOKUP(Tabelle4[[#This Row],[Key]],'3. Unique Results'!A:X,3,FALSE)</f>
        <v>2015</v>
      </c>
      <c r="D51" t="str">
        <f>VLOOKUP(Tabelle4[[#This Row],[Key]],'3. Unique Results'!A:X,4,FALSE)</f>
        <v>Priego, Rafael; Armentia, Aintzane; Estévez-Estévez, Elisabet; Marcos, Marga</v>
      </c>
      <c r="E51" t="str">
        <f>VLOOKUP(Tabelle4[[#This Row],[Key]],'3. Unique Results'!A:X,5,FALSE)</f>
        <v>On applying MDE for generating reconfigurable automation systems</v>
      </c>
      <c r="F51" t="str">
        <f>VLOOKUP(Tabelle4[[#This Row],[Key]],'3. Unique Results'!A:X,6,FALSE)</f>
        <v>13th IEEE International Conference on Industrial Informatics, INDIN 2015, Cambridge, United Kingdom, July 22-24, 2015</v>
      </c>
      <c r="G51" t="str">
        <f>VLOOKUP(Tabelle4[[#This Row],[Key]],'3. Unique Results'!A:X,7,FALSE)</f>
        <v/>
      </c>
      <c r="H51" t="str">
        <f>VLOOKUP(Tabelle4[[#This Row],[Key]],'3. Unique Results'!A:X,8,FALSE)</f>
        <v/>
      </c>
      <c r="I51" t="str">
        <f>VLOOKUP(Tabelle4[[#This Row],[Key]],'3. Unique Results'!A:X,9,FALSE)</f>
        <v>10.1109/INDIN.2015.7281911</v>
      </c>
      <c r="J51" t="str">
        <f>VLOOKUP(Tabelle4[[#This Row],[Key]],'3. Unique Results'!A:X,10,FALSE)</f>
        <v>https://doi.org/10.1109/INDIN.2015.7281911</v>
      </c>
      <c r="K51" t="str">
        <f>VLOOKUP(Tabelle4[[#This Row],[Key]],'3. Unique Results'!A:X,11,FALSE)</f>
        <v>2015</v>
      </c>
      <c r="L51">
        <f>VLOOKUP(Tabelle4[[#This Row],[Key]],'3. Unique Results'!A:X,12,FALSE)</f>
        <v>44887.363807870373</v>
      </c>
      <c r="M51" s="17">
        <f>VLOOKUP(Tabelle4[[#This Row],[Key]],'3. Unique Results'!A:X,13,FALSE)</f>
        <v>44887.363807870373</v>
      </c>
      <c r="N51" s="17">
        <f>VLOOKUP(Tabelle4[[#This Row],[Key]],'3. Unique Results'!A:X,14,FALSE)</f>
        <v>0</v>
      </c>
      <c r="O51" t="str">
        <f>VLOOKUP(Tabelle4[[#This Row],[Key]],'3. Unique Results'!A:X,15,FALSE)</f>
        <v>1233–1238</v>
      </c>
      <c r="P51" t="str">
        <f>VLOOKUP(Tabelle4[[#This Row],[Key]],'3. Unique Results'!A:X,16,FALSE)</f>
        <v/>
      </c>
      <c r="Q51" t="str">
        <f>VLOOKUP(Tabelle4[[#This Row],[Key]],'3. Unique Results'!A:X,17,FALSE)</f>
        <v/>
      </c>
      <c r="R51" t="str">
        <f>VLOOKUP(Tabelle4[[#This Row],[Key]],'3. Unique Results'!A:X,18,FALSE)</f>
        <v/>
      </c>
      <c r="S51" t="str">
        <f>VLOOKUP(Tabelle4[[#This Row],[Key]],'3. Unique Results'!A:X,19,FALSE)</f>
        <v/>
      </c>
      <c r="T51" t="str">
        <f>VLOOKUP(Tabelle4[[#This Row],[Key]],'3. Unique Results'!A:X,20,FALSE)</f>
        <v>IEEE</v>
      </c>
      <c r="U51" t="str">
        <f>VLOOKUP(Tabelle4[[#This Row],[Key]],'3. Unique Results'!A:X,21,FALSE)</f>
        <v/>
      </c>
      <c r="V51" t="str">
        <f>VLOOKUP(Tabelle4[[#This Row],[Key]],'3. Unique Results'!A:X,22,FALSE)</f>
        <v/>
      </c>
      <c r="W51" t="str">
        <f>VLOOKUP(Tabelle4[[#This Row],[Key]],'3. Unique Results'!A:X,23,FALSE)</f>
        <v/>
      </c>
    </row>
    <row r="52" spans="1:23">
      <c r="A52" t="s">
        <v>4450</v>
      </c>
      <c r="B52" t="str">
        <f>VLOOKUP(Tabelle4[[#This Row],[Key]],'3. Unique Results'!A:X,2,FALSE)</f>
        <v>conferencePaper</v>
      </c>
      <c r="C52">
        <f>VLOOKUP(Tabelle4[[#This Row],[Key]],'3. Unique Results'!A:X,3,FALSE)</f>
        <v>2021</v>
      </c>
      <c r="D52" t="str">
        <f>VLOOKUP(Tabelle4[[#This Row],[Key]],'3. Unique Results'!A:X,4,FALSE)</f>
        <v>Moin, Armin; Mituca, Andrei; Badii, Atta; Günnemann, Stephan</v>
      </c>
      <c r="E52" t="str">
        <f>VLOOKUP(Tabelle4[[#This Row],[Key]],'3. Unique Results'!A:X,5,FALSE)</f>
        <v>ML-Quadrat &amp; DriotData: A Model-Driven Engineering Tool and a Low-Code Platform for Smart IoT Services</v>
      </c>
      <c r="F52" t="str">
        <f>VLOOKUP(Tabelle4[[#This Row],[Key]],'3. Unique Results'!A:X,6,FALSE)</f>
        <v>CoRR</v>
      </c>
      <c r="G52" t="str">
        <f>VLOOKUP(Tabelle4[[#This Row],[Key]],'3. Unique Results'!A:X,7,FALSE)</f>
        <v/>
      </c>
      <c r="H52" t="str">
        <f>VLOOKUP(Tabelle4[[#This Row],[Key]],'3. Unique Results'!A:X,8,FALSE)</f>
        <v/>
      </c>
      <c r="I52" t="str">
        <f>VLOOKUP(Tabelle4[[#This Row],[Key]],'3. Unique Results'!A:X,9,FALSE)</f>
        <v/>
      </c>
      <c r="J52" t="str">
        <f>VLOOKUP(Tabelle4[[#This Row],[Key]],'3. Unique Results'!A:X,10,FALSE)</f>
        <v>https://arxiv.org/abs/2107.02692</v>
      </c>
      <c r="K52" t="str">
        <f>VLOOKUP(Tabelle4[[#This Row],[Key]],'3. Unique Results'!A:X,11,FALSE)</f>
        <v>2021</v>
      </c>
      <c r="L52">
        <f>VLOOKUP(Tabelle4[[#This Row],[Key]],'3. Unique Results'!A:X,12,FALSE)</f>
        <v>44887.363807870373</v>
      </c>
      <c r="M52" s="17">
        <f>VLOOKUP(Tabelle4[[#This Row],[Key]],'3. Unique Results'!A:X,13,FALSE)</f>
        <v>44887.363807870373</v>
      </c>
      <c r="N52" s="17">
        <f>VLOOKUP(Tabelle4[[#This Row],[Key]],'3. Unique Results'!A:X,14,FALSE)</f>
        <v>0</v>
      </c>
      <c r="O52" t="str">
        <f>VLOOKUP(Tabelle4[[#This Row],[Key]],'3. Unique Results'!A:X,15,FALSE)</f>
        <v/>
      </c>
      <c r="P52" t="str">
        <f>VLOOKUP(Tabelle4[[#This Row],[Key]],'3. Unique Results'!A:X,16,FALSE)</f>
        <v/>
      </c>
      <c r="Q52" t="str">
        <f>VLOOKUP(Tabelle4[[#This Row],[Key]],'3. Unique Results'!A:X,17,FALSE)</f>
        <v>abs/2107.02692</v>
      </c>
      <c r="R52" t="str">
        <f>VLOOKUP(Tabelle4[[#This Row],[Key]],'3. Unique Results'!A:X,18,FALSE)</f>
        <v/>
      </c>
      <c r="S52" t="str">
        <f>VLOOKUP(Tabelle4[[#This Row],[Key]],'3. Unique Results'!A:X,19,FALSE)</f>
        <v/>
      </c>
      <c r="T52" t="str">
        <f>VLOOKUP(Tabelle4[[#This Row],[Key]],'3. Unique Results'!A:X,20,FALSE)</f>
        <v/>
      </c>
      <c r="U52" t="str">
        <f>VLOOKUP(Tabelle4[[#This Row],[Key]],'3. Unique Results'!A:X,21,FALSE)</f>
        <v/>
      </c>
      <c r="V52" t="str">
        <f>VLOOKUP(Tabelle4[[#This Row],[Key]],'3. Unique Results'!A:X,22,FALSE)</f>
        <v/>
      </c>
      <c r="W52" t="str">
        <f>VLOOKUP(Tabelle4[[#This Row],[Key]],'3. Unique Results'!A:X,23,FALSE)</f>
        <v/>
      </c>
    </row>
    <row r="53" spans="1:23">
      <c r="A53" s="16" t="s">
        <v>4451</v>
      </c>
      <c r="B53" t="str">
        <f>VLOOKUP(Tabelle4[[#This Row],[Key]],'3. Unique Results'!A:X,2,FALSE)</f>
        <v>conferencePaper</v>
      </c>
      <c r="C53">
        <f>VLOOKUP(Tabelle4[[#This Row],[Key]],'3. Unique Results'!A:X,3,FALSE)</f>
        <v>2018</v>
      </c>
      <c r="D53" t="str">
        <f>VLOOKUP(Tabelle4[[#This Row],[Key]],'3. Unique Results'!A:X,4,FALSE)</f>
        <v>Moin, Armin; Rössler, Stephan; Günnemann, Stephan</v>
      </c>
      <c r="E53" t="str">
        <f>VLOOKUP(Tabelle4[[#This Row],[Key]],'3. Unique Results'!A:X,5,FALSE)</f>
        <v>ThingML+: Augmenting Model-Driven Software Engineering for the Internet of Things with Machine Learning</v>
      </c>
      <c r="F53" t="str">
        <f>VLOOKUP(Tabelle4[[#This Row],[Key]],'3. Unique Results'!A:X,6,FALSE)</f>
        <v>Proceedings of MODELS 2018 Workshops: ModComp, MRT, OCL, FlexMDE, EXE, COMMitMDE, MDETools, GEMOC, MORSE, MDE4IoT, MDEbug, MoDeVVa, ME, MULTI, HuFaMo, AMMoRe, PAINS co-located with ACM/IEEE 21st International Conference on Model Driven Engineering Languages and Systems (MODELS 2018), Copenhagen, Denmark, October, 14, 2018</v>
      </c>
      <c r="G53" t="str">
        <f>VLOOKUP(Tabelle4[[#This Row],[Key]],'3. Unique Results'!A:X,7,FALSE)</f>
        <v/>
      </c>
      <c r="H53" t="str">
        <f>VLOOKUP(Tabelle4[[#This Row],[Key]],'3. Unique Results'!A:X,8,FALSE)</f>
        <v/>
      </c>
      <c r="I53" t="str">
        <f>VLOOKUP(Tabelle4[[#This Row],[Key]],'3. Unique Results'!A:X,9,FALSE)</f>
        <v/>
      </c>
      <c r="J53" t="str">
        <f>VLOOKUP(Tabelle4[[#This Row],[Key]],'3. Unique Results'!A:X,10,FALSE)</f>
        <v>http://ceur-ws.org/Vol-2245/mde4iot\_paper\_5.pdf</v>
      </c>
      <c r="K53" t="str">
        <f>VLOOKUP(Tabelle4[[#This Row],[Key]],'3. Unique Results'!A:X,11,FALSE)</f>
        <v>2018</v>
      </c>
      <c r="L53">
        <f>VLOOKUP(Tabelle4[[#This Row],[Key]],'3. Unique Results'!A:X,12,FALSE)</f>
        <v>44887.363807870373</v>
      </c>
      <c r="M53" s="17">
        <f>VLOOKUP(Tabelle4[[#This Row],[Key]],'3. Unique Results'!A:X,13,FALSE)</f>
        <v>44887.363807870373</v>
      </c>
      <c r="N53" s="17">
        <f>VLOOKUP(Tabelle4[[#This Row],[Key]],'3. Unique Results'!A:X,14,FALSE)</f>
        <v>0</v>
      </c>
      <c r="O53" t="str">
        <f>VLOOKUP(Tabelle4[[#This Row],[Key]],'3. Unique Results'!A:X,15,FALSE)</f>
        <v>521–523</v>
      </c>
      <c r="P53" t="str">
        <f>VLOOKUP(Tabelle4[[#This Row],[Key]],'3. Unique Results'!A:X,16,FALSE)</f>
        <v/>
      </c>
      <c r="Q53" t="str">
        <f>VLOOKUP(Tabelle4[[#This Row],[Key]],'3. Unique Results'!A:X,17,FALSE)</f>
        <v>2245</v>
      </c>
      <c r="R53" t="str">
        <f>VLOOKUP(Tabelle4[[#This Row],[Key]],'3. Unique Results'!A:X,18,FALSE)</f>
        <v/>
      </c>
      <c r="S53" t="str">
        <f>VLOOKUP(Tabelle4[[#This Row],[Key]],'3. Unique Results'!A:X,19,FALSE)</f>
        <v/>
      </c>
      <c r="T53" t="str">
        <f>VLOOKUP(Tabelle4[[#This Row],[Key]],'3. Unique Results'!A:X,20,FALSE)</f>
        <v>CEUR-WS.org</v>
      </c>
      <c r="U53" t="str">
        <f>VLOOKUP(Tabelle4[[#This Row],[Key]],'3. Unique Results'!A:X,21,FALSE)</f>
        <v/>
      </c>
      <c r="V53" t="str">
        <f>VLOOKUP(Tabelle4[[#This Row],[Key]],'3. Unique Results'!A:X,22,FALSE)</f>
        <v/>
      </c>
      <c r="W53" t="str">
        <f>VLOOKUP(Tabelle4[[#This Row],[Key]],'3. Unique Results'!A:X,23,FALSE)</f>
        <v/>
      </c>
    </row>
    <row r="54" spans="1:23">
      <c r="A54" t="s">
        <v>4452</v>
      </c>
      <c r="B54" t="str">
        <f>VLOOKUP(Tabelle4[[#This Row],[Key]],'3. Unique Results'!A:X,2,FALSE)</f>
        <v>journalArticle</v>
      </c>
      <c r="C54">
        <f>VLOOKUP(Tabelle4[[#This Row],[Key]],'3. Unique Results'!A:X,3,FALSE)</f>
        <v>2022</v>
      </c>
      <c r="D54" t="str">
        <f>VLOOKUP(Tabelle4[[#This Row],[Key]],'3. Unique Results'!A:X,4,FALSE)</f>
        <v>Moin, Armin; Challenger, Moharram; Badii, Atta; Günnemann, Stephan</v>
      </c>
      <c r="E54" t="str">
        <f>VLOOKUP(Tabelle4[[#This Row],[Key]],'3. Unique Results'!A:X,5,FALSE)</f>
        <v>Supporting AI Engineering on the IoT Edge through Model-Driven TinyML</v>
      </c>
      <c r="F54" t="str">
        <f>VLOOKUP(Tabelle4[[#This Row],[Key]],'3. Unique Results'!A:X,6,FALSE)</f>
        <v>46th IEEE Annual Computers, Software, and Applications Conferenc, COMPSAC 2022, Los Alamitos, CA, USA, June 27 - July 1, 2022</v>
      </c>
      <c r="G54" t="str">
        <f>VLOOKUP(Tabelle4[[#This Row],[Key]],'3. Unique Results'!A:X,7,FALSE)</f>
        <v/>
      </c>
      <c r="H54" t="str">
        <f>VLOOKUP(Tabelle4[[#This Row],[Key]],'3. Unique Results'!A:X,8,FALSE)</f>
        <v/>
      </c>
      <c r="I54" t="str">
        <f>VLOOKUP(Tabelle4[[#This Row],[Key]],'3. Unique Results'!A:X,9,FALSE)</f>
        <v>10.1109/COMPSAC54236.2022.00140</v>
      </c>
      <c r="J54" t="str">
        <f>VLOOKUP(Tabelle4[[#This Row],[Key]],'3. Unique Results'!A:X,10,FALSE)</f>
        <v>https://doi.org/10.1109/COMPSAC54236.2022.00140</v>
      </c>
      <c r="K54" t="str">
        <f>VLOOKUP(Tabelle4[[#This Row],[Key]],'3. Unique Results'!A:X,11,FALSE)</f>
        <v>2022</v>
      </c>
      <c r="L54">
        <f>VLOOKUP(Tabelle4[[#This Row],[Key]],'3. Unique Results'!A:X,12,FALSE)</f>
        <v>44887.363807870373</v>
      </c>
      <c r="M54" s="17">
        <f>VLOOKUP(Tabelle4[[#This Row],[Key]],'3. Unique Results'!A:X,13,FALSE)</f>
        <v>44887.363807870373</v>
      </c>
      <c r="N54" s="17">
        <f>VLOOKUP(Tabelle4[[#This Row],[Key]],'3. Unique Results'!A:X,14,FALSE)</f>
        <v>0</v>
      </c>
      <c r="O54" t="str">
        <f>VLOOKUP(Tabelle4[[#This Row],[Key]],'3. Unique Results'!A:X,15,FALSE)</f>
        <v>884–893</v>
      </c>
      <c r="P54" t="str">
        <f>VLOOKUP(Tabelle4[[#This Row],[Key]],'3. Unique Results'!A:X,16,FALSE)</f>
        <v/>
      </c>
      <c r="Q54" t="str">
        <f>VLOOKUP(Tabelle4[[#This Row],[Key]],'3. Unique Results'!A:X,17,FALSE)</f>
        <v/>
      </c>
      <c r="R54" t="str">
        <f>VLOOKUP(Tabelle4[[#This Row],[Key]],'3. Unique Results'!A:X,18,FALSE)</f>
        <v/>
      </c>
      <c r="S54" t="str">
        <f>VLOOKUP(Tabelle4[[#This Row],[Key]],'3. Unique Results'!A:X,19,FALSE)</f>
        <v/>
      </c>
      <c r="T54" t="str">
        <f>VLOOKUP(Tabelle4[[#This Row],[Key]],'3. Unique Results'!A:X,20,FALSE)</f>
        <v/>
      </c>
      <c r="U54" t="str">
        <f>VLOOKUP(Tabelle4[[#This Row],[Key]],'3. Unique Results'!A:X,21,FALSE)</f>
        <v/>
      </c>
      <c r="V54" t="str">
        <f>VLOOKUP(Tabelle4[[#This Row],[Key]],'3. Unique Results'!A:X,22,FALSE)</f>
        <v/>
      </c>
      <c r="W54" t="str">
        <f>VLOOKUP(Tabelle4[[#This Row],[Key]],'3. Unique Results'!A:X,23,FALSE)</f>
        <v/>
      </c>
    </row>
    <row r="55" spans="1:23">
      <c r="A55" s="16" t="s">
        <v>5832</v>
      </c>
      <c r="B55" t="str">
        <f>VLOOKUP(Tabelle4[[#This Row],[Key]],'3. Unique Results'!A:X,2,FALSE)</f>
        <v>conferencePaper</v>
      </c>
      <c r="C55">
        <f>VLOOKUP(Tabelle4[[#This Row],[Key]],'3. Unique Results'!A:X,3,FALSE)</f>
        <v>2019</v>
      </c>
      <c r="D55" t="str">
        <f>VLOOKUP(Tabelle4[[#This Row],[Key]],'3. Unique Results'!A:X,4,FALSE)</f>
        <v>Laurenzi, Emanuele; Hinkelmann, Knut; Jüngling, Stephan; Montecchiari, Devid; Pande, Charuta; Martin, Andreas</v>
      </c>
      <c r="E55" t="str">
        <f>VLOOKUP(Tabelle4[[#This Row],[Key]],'3. Unique Results'!A:X,5,FALSE)</f>
        <v>Towards an Assistive and Pattern Learning-driven Process Modeling Approach</v>
      </c>
      <c r="F55" t="str">
        <f>VLOOKUP(Tabelle4[[#This Row],[Key]],'3. Unique Results'!A:X,6,FALSE)</f>
        <v>Proceedings of the AAAI 2019 Spring Symposium on Combining Machine Learning with Knowledge Engineering (AAAI-MAKE 2019) Stanford University, Palo Alto, California, USA, March 25-27, 2019., Stanford University, Palo Alto, California, USA, March 25-27, 2019</v>
      </c>
      <c r="G55" t="str">
        <f>VLOOKUP(Tabelle4[[#This Row],[Key]],'3. Unique Results'!A:X,7,FALSE)</f>
        <v/>
      </c>
      <c r="H55" t="str">
        <f>VLOOKUP(Tabelle4[[#This Row],[Key]],'3. Unique Results'!A:X,8,FALSE)</f>
        <v/>
      </c>
      <c r="I55" t="str">
        <f>VLOOKUP(Tabelle4[[#This Row],[Key]],'3. Unique Results'!A:X,9,FALSE)</f>
        <v/>
      </c>
      <c r="J55" t="str">
        <f>VLOOKUP(Tabelle4[[#This Row],[Key]],'3. Unique Results'!A:X,10,FALSE)</f>
        <v>http://ceur-ws.org/Vol-2350/paper20.pdf</v>
      </c>
      <c r="K55" t="str">
        <f>VLOOKUP(Tabelle4[[#This Row],[Key]],'3. Unique Results'!A:X,11,FALSE)</f>
        <v>2019</v>
      </c>
      <c r="L55">
        <f>VLOOKUP(Tabelle4[[#This Row],[Key]],'3. Unique Results'!A:X,12,FALSE)</f>
        <v>44887.363807870373</v>
      </c>
      <c r="M55" s="17">
        <f>VLOOKUP(Tabelle4[[#This Row],[Key]],'3. Unique Results'!A:X,13,FALSE)</f>
        <v>44887.363807870373</v>
      </c>
      <c r="N55" s="17">
        <f>VLOOKUP(Tabelle4[[#This Row],[Key]],'3. Unique Results'!A:X,14,FALSE)</f>
        <v>0</v>
      </c>
      <c r="O55" t="str">
        <f>VLOOKUP(Tabelle4[[#This Row],[Key]],'3. Unique Results'!A:X,15,FALSE)</f>
        <v/>
      </c>
      <c r="P55" t="str">
        <f>VLOOKUP(Tabelle4[[#This Row],[Key]],'3. Unique Results'!A:X,16,FALSE)</f>
        <v/>
      </c>
      <c r="Q55" t="str">
        <f>VLOOKUP(Tabelle4[[#This Row],[Key]],'3. Unique Results'!A:X,17,FALSE)</f>
        <v>2350</v>
      </c>
      <c r="R55" t="str">
        <f>VLOOKUP(Tabelle4[[#This Row],[Key]],'3. Unique Results'!A:X,18,FALSE)</f>
        <v/>
      </c>
      <c r="S55" t="str">
        <f>VLOOKUP(Tabelle4[[#This Row],[Key]],'3. Unique Results'!A:X,19,FALSE)</f>
        <v/>
      </c>
      <c r="T55" t="str">
        <f>VLOOKUP(Tabelle4[[#This Row],[Key]],'3. Unique Results'!A:X,20,FALSE)</f>
        <v>CEUR-WS.org</v>
      </c>
      <c r="U55" t="str">
        <f>VLOOKUP(Tabelle4[[#This Row],[Key]],'3. Unique Results'!A:X,21,FALSE)</f>
        <v/>
      </c>
      <c r="V55" t="str">
        <f>VLOOKUP(Tabelle4[[#This Row],[Key]],'3. Unique Results'!A:X,22,FALSE)</f>
        <v/>
      </c>
      <c r="W55" t="str">
        <f>VLOOKUP(Tabelle4[[#This Row],[Key]],'3. Unique Results'!A:X,23,FALSE)</f>
        <v/>
      </c>
    </row>
    <row r="56" spans="1:23">
      <c r="A56" t="s">
        <v>5835</v>
      </c>
      <c r="B56" t="str">
        <f>VLOOKUP(Tabelle4[[#This Row],[Key]],'3. Unique Results'!A:X,2,FALSE)</f>
        <v>journalArticle</v>
      </c>
      <c r="C56">
        <f>VLOOKUP(Tabelle4[[#This Row],[Key]],'3. Unique Results'!A:X,3,FALSE)</f>
        <v>2020</v>
      </c>
      <c r="D56" t="str">
        <f>VLOOKUP(Tabelle4[[#This Row],[Key]],'3. Unique Results'!A:X,4,FALSE)</f>
        <v>Bikmukhametov, Timur; Jäschke, Johannes</v>
      </c>
      <c r="E56" t="str">
        <f>VLOOKUP(Tabelle4[[#This Row],[Key]],'3. Unique Results'!A:X,5,FALSE)</f>
        <v>Combining machine learning and process engineering physics towards enhanced accuracy and explainability of data-driven models</v>
      </c>
      <c r="F56" t="str">
        <f>VLOOKUP(Tabelle4[[#This Row],[Key]],'3. Unique Results'!A:X,6,FALSE)</f>
        <v>Comput. Chem. Eng.</v>
      </c>
      <c r="G56" t="str">
        <f>VLOOKUP(Tabelle4[[#This Row],[Key]],'3. Unique Results'!A:X,7,FALSE)</f>
        <v/>
      </c>
      <c r="H56" t="str">
        <f>VLOOKUP(Tabelle4[[#This Row],[Key]],'3. Unique Results'!A:X,8,FALSE)</f>
        <v/>
      </c>
      <c r="I56" t="str">
        <f>VLOOKUP(Tabelle4[[#This Row],[Key]],'3. Unique Results'!A:X,9,FALSE)</f>
        <v>10.1016/j.compchemeng.2020.106834</v>
      </c>
      <c r="J56" t="str">
        <f>VLOOKUP(Tabelle4[[#This Row],[Key]],'3. Unique Results'!A:X,10,FALSE)</f>
        <v>https://doi.org/10.1016/j.compchemeng.2020.106834</v>
      </c>
      <c r="K56" t="str">
        <f>VLOOKUP(Tabelle4[[#This Row],[Key]],'3. Unique Results'!A:X,11,FALSE)</f>
        <v>2020</v>
      </c>
      <c r="L56">
        <f>VLOOKUP(Tabelle4[[#This Row],[Key]],'3. Unique Results'!A:X,12,FALSE)</f>
        <v>44887.363807870373</v>
      </c>
      <c r="M56" s="17">
        <f>VLOOKUP(Tabelle4[[#This Row],[Key]],'3. Unique Results'!A:X,13,FALSE)</f>
        <v>44887.363807870373</v>
      </c>
      <c r="N56" s="17">
        <f>VLOOKUP(Tabelle4[[#This Row],[Key]],'3. Unique Results'!A:X,14,FALSE)</f>
        <v>0</v>
      </c>
      <c r="O56" t="str">
        <f>VLOOKUP(Tabelle4[[#This Row],[Key]],'3. Unique Results'!A:X,15,FALSE)</f>
        <v>106834</v>
      </c>
      <c r="P56" t="str">
        <f>VLOOKUP(Tabelle4[[#This Row],[Key]],'3. Unique Results'!A:X,16,FALSE)</f>
        <v/>
      </c>
      <c r="Q56" t="str">
        <f>VLOOKUP(Tabelle4[[#This Row],[Key]],'3. Unique Results'!A:X,17,FALSE)</f>
        <v>138</v>
      </c>
      <c r="R56" t="str">
        <f>VLOOKUP(Tabelle4[[#This Row],[Key]],'3. Unique Results'!A:X,18,FALSE)</f>
        <v/>
      </c>
      <c r="S56" t="str">
        <f>VLOOKUP(Tabelle4[[#This Row],[Key]],'3. Unique Results'!A:X,19,FALSE)</f>
        <v/>
      </c>
      <c r="T56" t="str">
        <f>VLOOKUP(Tabelle4[[#This Row],[Key]],'3. Unique Results'!A:X,20,FALSE)</f>
        <v/>
      </c>
      <c r="U56" t="str">
        <f>VLOOKUP(Tabelle4[[#This Row],[Key]],'3. Unique Results'!A:X,21,FALSE)</f>
        <v/>
      </c>
      <c r="V56" t="str">
        <f>VLOOKUP(Tabelle4[[#This Row],[Key]],'3. Unique Results'!A:X,22,FALSE)</f>
        <v/>
      </c>
      <c r="W56" t="str">
        <f>VLOOKUP(Tabelle4[[#This Row],[Key]],'3. Unique Results'!A:X,23,FALSE)</f>
        <v/>
      </c>
    </row>
    <row r="57" spans="1:23">
      <c r="A57" s="16" t="s">
        <v>4453</v>
      </c>
      <c r="B57" t="str">
        <f>VLOOKUP(Tabelle4[[#This Row],[Key]],'3. Unique Results'!A:X,2,FALSE)</f>
        <v>journalArticle</v>
      </c>
      <c r="C57">
        <f>VLOOKUP(Tabelle4[[#This Row],[Key]],'3. Unique Results'!A:X,3,FALSE)</f>
        <v>2021</v>
      </c>
      <c r="D57" t="str">
        <f>VLOOKUP(Tabelle4[[#This Row],[Key]],'3. Unique Results'!A:X,4,FALSE)</f>
        <v>Moin, Armin; Badii, Atta; Günnemann, Stephan</v>
      </c>
      <c r="E57" t="str">
        <f>VLOOKUP(Tabelle4[[#This Row],[Key]],'3. Unique Results'!A:X,5,FALSE)</f>
        <v>A Model-Driven Engineering Approach to Machine Learning and Software Modeling</v>
      </c>
      <c r="F57" t="str">
        <f>VLOOKUP(Tabelle4[[#This Row],[Key]],'3. Unique Results'!A:X,6,FALSE)</f>
        <v>CoRR</v>
      </c>
      <c r="G57" t="str">
        <f>VLOOKUP(Tabelle4[[#This Row],[Key]],'3. Unique Results'!A:X,7,FALSE)</f>
        <v/>
      </c>
      <c r="H57" t="str">
        <f>VLOOKUP(Tabelle4[[#This Row],[Key]],'3. Unique Results'!A:X,8,FALSE)</f>
        <v/>
      </c>
      <c r="I57" t="str">
        <f>VLOOKUP(Tabelle4[[#This Row],[Key]],'3. Unique Results'!A:X,9,FALSE)</f>
        <v/>
      </c>
      <c r="J57" t="str">
        <f>VLOOKUP(Tabelle4[[#This Row],[Key]],'3. Unique Results'!A:X,10,FALSE)</f>
        <v>https://arxiv.org/abs/2107.02689</v>
      </c>
      <c r="K57" t="str">
        <f>VLOOKUP(Tabelle4[[#This Row],[Key]],'3. Unique Results'!A:X,11,FALSE)</f>
        <v>2021</v>
      </c>
      <c r="L57">
        <f>VLOOKUP(Tabelle4[[#This Row],[Key]],'3. Unique Results'!A:X,12,FALSE)</f>
        <v>44887.363807870373</v>
      </c>
      <c r="M57" s="17">
        <f>VLOOKUP(Tabelle4[[#This Row],[Key]],'3. Unique Results'!A:X,13,FALSE)</f>
        <v>44887.363807870373</v>
      </c>
      <c r="N57" s="17">
        <f>VLOOKUP(Tabelle4[[#This Row],[Key]],'3. Unique Results'!A:X,14,FALSE)</f>
        <v>0</v>
      </c>
      <c r="O57" t="str">
        <f>VLOOKUP(Tabelle4[[#This Row],[Key]],'3. Unique Results'!A:X,15,FALSE)</f>
        <v/>
      </c>
      <c r="P57" t="str">
        <f>VLOOKUP(Tabelle4[[#This Row],[Key]],'3. Unique Results'!A:X,16,FALSE)</f>
        <v/>
      </c>
      <c r="Q57" t="str">
        <f>VLOOKUP(Tabelle4[[#This Row],[Key]],'3. Unique Results'!A:X,17,FALSE)</f>
        <v>abs/2107.02689</v>
      </c>
      <c r="R57" t="str">
        <f>VLOOKUP(Tabelle4[[#This Row],[Key]],'3. Unique Results'!A:X,18,FALSE)</f>
        <v/>
      </c>
      <c r="S57" t="str">
        <f>VLOOKUP(Tabelle4[[#This Row],[Key]],'3. Unique Results'!A:X,19,FALSE)</f>
        <v/>
      </c>
      <c r="T57" t="str">
        <f>VLOOKUP(Tabelle4[[#This Row],[Key]],'3. Unique Results'!A:X,20,FALSE)</f>
        <v/>
      </c>
      <c r="U57" t="str">
        <f>VLOOKUP(Tabelle4[[#This Row],[Key]],'3. Unique Results'!A:X,21,FALSE)</f>
        <v/>
      </c>
      <c r="V57" t="str">
        <f>VLOOKUP(Tabelle4[[#This Row],[Key]],'3. Unique Results'!A:X,22,FALSE)</f>
        <v/>
      </c>
      <c r="W57" t="str">
        <f>VLOOKUP(Tabelle4[[#This Row],[Key]],'3. Unique Results'!A:X,23,FALSE)</f>
        <v/>
      </c>
    </row>
    <row r="58" spans="1:23">
      <c r="A58" t="s">
        <v>4454</v>
      </c>
      <c r="B58" t="str">
        <f>VLOOKUP(Tabelle4[[#This Row],[Key]],'3. Unique Results'!A:X,2,FALSE)</f>
        <v>conferencePaper</v>
      </c>
      <c r="C58">
        <f>VLOOKUP(Tabelle4[[#This Row],[Key]],'3. Unique Results'!A:X,3,FALSE)</f>
        <v>2021</v>
      </c>
      <c r="D58" t="str">
        <f>VLOOKUP(Tabelle4[[#This Row],[Key]],'3. Unique Results'!A:X,4,FALSE)</f>
        <v>Moin, Armin</v>
      </c>
      <c r="E58" t="str">
        <f>VLOOKUP(Tabelle4[[#This Row],[Key]],'3. Unique Results'!A:X,5,FALSE)</f>
        <v>Data Analytics and Machine Learning Methods, Techniques and Tool for Model-Driven Engineering of Smart IoT Services</v>
      </c>
      <c r="F58" t="str">
        <f>VLOOKUP(Tabelle4[[#This Row],[Key]],'3. Unique Results'!A:X,6,FALSE)</f>
        <v>43rd IEEE/ACM International Conference on Software Engineering: Companion Proceedings, ICSE Companion 2021, Madrid, Spain, May 25-28, 2021</v>
      </c>
      <c r="G58" t="str">
        <f>VLOOKUP(Tabelle4[[#This Row],[Key]],'3. Unique Results'!A:X,7,FALSE)</f>
        <v/>
      </c>
      <c r="H58" t="str">
        <f>VLOOKUP(Tabelle4[[#This Row],[Key]],'3. Unique Results'!A:X,8,FALSE)</f>
        <v/>
      </c>
      <c r="I58" t="str">
        <f>VLOOKUP(Tabelle4[[#This Row],[Key]],'3. Unique Results'!A:X,9,FALSE)</f>
        <v>10.1109/ICSE-Companion52605.2021.00130</v>
      </c>
      <c r="J58" t="str">
        <f>VLOOKUP(Tabelle4[[#This Row],[Key]],'3. Unique Results'!A:X,10,FALSE)</f>
        <v>https://doi.org/10.1109/ICSE-Companion52605.2021.00130</v>
      </c>
      <c r="K58" t="str">
        <f>VLOOKUP(Tabelle4[[#This Row],[Key]],'3. Unique Results'!A:X,11,FALSE)</f>
        <v>2021</v>
      </c>
      <c r="L58">
        <f>VLOOKUP(Tabelle4[[#This Row],[Key]],'3. Unique Results'!A:X,12,FALSE)</f>
        <v>44887.363807870373</v>
      </c>
      <c r="M58" s="17">
        <f>VLOOKUP(Tabelle4[[#This Row],[Key]],'3. Unique Results'!A:X,13,FALSE)</f>
        <v>44887.363807870373</v>
      </c>
      <c r="N58" s="17">
        <f>VLOOKUP(Tabelle4[[#This Row],[Key]],'3. Unique Results'!A:X,14,FALSE)</f>
        <v>0</v>
      </c>
      <c r="O58" t="str">
        <f>VLOOKUP(Tabelle4[[#This Row],[Key]],'3. Unique Results'!A:X,15,FALSE)</f>
        <v>287–292</v>
      </c>
      <c r="P58" t="str">
        <f>VLOOKUP(Tabelle4[[#This Row],[Key]],'3. Unique Results'!A:X,16,FALSE)</f>
        <v/>
      </c>
      <c r="Q58" t="str">
        <f>VLOOKUP(Tabelle4[[#This Row],[Key]],'3. Unique Results'!A:X,17,FALSE)</f>
        <v/>
      </c>
      <c r="R58" t="str">
        <f>VLOOKUP(Tabelle4[[#This Row],[Key]],'3. Unique Results'!A:X,18,FALSE)</f>
        <v/>
      </c>
      <c r="S58" t="str">
        <f>VLOOKUP(Tabelle4[[#This Row],[Key]],'3. Unique Results'!A:X,19,FALSE)</f>
        <v/>
      </c>
      <c r="T58" t="str">
        <f>VLOOKUP(Tabelle4[[#This Row],[Key]],'3. Unique Results'!A:X,20,FALSE)</f>
        <v>IEEE</v>
      </c>
      <c r="U58" t="str">
        <f>VLOOKUP(Tabelle4[[#This Row],[Key]],'3. Unique Results'!A:X,21,FALSE)</f>
        <v/>
      </c>
      <c r="V58" t="str">
        <f>VLOOKUP(Tabelle4[[#This Row],[Key]],'3. Unique Results'!A:X,22,FALSE)</f>
        <v/>
      </c>
      <c r="W58" t="str">
        <f>VLOOKUP(Tabelle4[[#This Row],[Key]],'3. Unique Results'!A:X,23,FALSE)</f>
        <v/>
      </c>
    </row>
    <row r="59" spans="1:23">
      <c r="A59" t="s">
        <v>4455</v>
      </c>
      <c r="B59" t="str">
        <f>VLOOKUP(Tabelle4[[#This Row],[Key]],'3. Unique Results'!A:X,2,FALSE)</f>
        <v>thesis</v>
      </c>
      <c r="C59">
        <f>VLOOKUP(Tabelle4[[#This Row],[Key]],'3. Unique Results'!A:X,3,FALSE)</f>
        <v>2022</v>
      </c>
      <c r="D59" t="str">
        <f>VLOOKUP(Tabelle4[[#This Row],[Key]],'3. Unique Results'!A:X,4,FALSE)</f>
        <v>Moin, Armin</v>
      </c>
      <c r="E59" t="str">
        <f>VLOOKUP(Tabelle4[[#This Row],[Key]],'3. Unique Results'!A:X,5,FALSE)</f>
        <v>Enabling Data Analytics and Machine Learning in Model-Driven Software Engineering of Smart IoT Services</v>
      </c>
      <c r="F59" t="str">
        <f>VLOOKUP(Tabelle4[[#This Row],[Key]],'3. Unique Results'!A:X,6,FALSE)</f>
        <v/>
      </c>
      <c r="G59" t="str">
        <f>VLOOKUP(Tabelle4[[#This Row],[Key]],'3. Unique Results'!A:X,7,FALSE)</f>
        <v/>
      </c>
      <c r="H59" t="str">
        <f>VLOOKUP(Tabelle4[[#This Row],[Key]],'3. Unique Results'!A:X,8,FALSE)</f>
        <v/>
      </c>
      <c r="I59" t="str">
        <f>VLOOKUP(Tabelle4[[#This Row],[Key]],'3. Unique Results'!A:X,9,FALSE)</f>
        <v/>
      </c>
      <c r="J59" t="str">
        <f>VLOOKUP(Tabelle4[[#This Row],[Key]],'3. Unique Results'!A:X,10,FALSE)</f>
        <v>https://nbn-resolving.org/urn:nbn:de:bvb:91-diss-20220720-1660445-1-6</v>
      </c>
      <c r="K59" t="str">
        <f>VLOOKUP(Tabelle4[[#This Row],[Key]],'3. Unique Results'!A:X,11,FALSE)</f>
        <v>2022</v>
      </c>
      <c r="L59">
        <f>VLOOKUP(Tabelle4[[#This Row],[Key]],'3. Unique Results'!A:X,12,FALSE)</f>
        <v>44887.363807870373</v>
      </c>
      <c r="M59" s="17">
        <f>VLOOKUP(Tabelle4[[#This Row],[Key]],'3. Unique Results'!A:X,13,FALSE)</f>
        <v>44887.363807870373</v>
      </c>
      <c r="N59" s="17">
        <f>VLOOKUP(Tabelle4[[#This Row],[Key]],'3. Unique Results'!A:X,14,FALSE)</f>
        <v>0</v>
      </c>
      <c r="O59" t="str">
        <f>VLOOKUP(Tabelle4[[#This Row],[Key]],'3. Unique Results'!A:X,15,FALSE)</f>
        <v/>
      </c>
      <c r="P59" t="str">
        <f>VLOOKUP(Tabelle4[[#This Row],[Key]],'3. Unique Results'!A:X,16,FALSE)</f>
        <v/>
      </c>
      <c r="Q59" t="str">
        <f>VLOOKUP(Tabelle4[[#This Row],[Key]],'3. Unique Results'!A:X,17,FALSE)</f>
        <v/>
      </c>
      <c r="R59" t="str">
        <f>VLOOKUP(Tabelle4[[#This Row],[Key]],'3. Unique Results'!A:X,18,FALSE)</f>
        <v/>
      </c>
      <c r="S59" t="str">
        <f>VLOOKUP(Tabelle4[[#This Row],[Key]],'3. Unique Results'!A:X,19,FALSE)</f>
        <v/>
      </c>
      <c r="T59" t="str">
        <f>VLOOKUP(Tabelle4[[#This Row],[Key]],'3. Unique Results'!A:X,20,FALSE)</f>
        <v>Technical University of Munich, Germany</v>
      </c>
      <c r="U59" t="str">
        <f>VLOOKUP(Tabelle4[[#This Row],[Key]],'3. Unique Results'!A:X,21,FALSE)</f>
        <v/>
      </c>
      <c r="V59" t="str">
        <f>VLOOKUP(Tabelle4[[#This Row],[Key]],'3. Unique Results'!A:X,22,FALSE)</f>
        <v/>
      </c>
      <c r="W59" t="str">
        <f>VLOOKUP(Tabelle4[[#This Row],[Key]],'3. Unique Results'!A:X,23,FALSE)</f>
        <v/>
      </c>
    </row>
    <row r="60" spans="1:23">
      <c r="A60" t="s">
        <v>5838</v>
      </c>
      <c r="B60" t="str">
        <f>VLOOKUP(Tabelle4[[#This Row],[Key]],'3. Unique Results'!A:X,2,FALSE)</f>
        <v>conferencePaper</v>
      </c>
      <c r="C60">
        <f>VLOOKUP(Tabelle4[[#This Row],[Key]],'3. Unique Results'!A:X,3,FALSE)</f>
        <v>2005</v>
      </c>
      <c r="D60" t="str">
        <f>VLOOKUP(Tabelle4[[#This Row],[Key]],'3. Unique Results'!A:X,4,FALSE)</f>
        <v>Kasinger, Holger; Bauer, Bernhard</v>
      </c>
      <c r="E60" t="str">
        <f>VLOOKUP(Tabelle4[[#This Row],[Key]],'3. Unique Results'!A:X,5,FALSE)</f>
        <v>Towards a Model-Driven Software Engineering Methodology for Organic Computing Systems</v>
      </c>
      <c r="F60" t="str">
        <f>VLOOKUP(Tabelle4[[#This Row],[Key]],'3. Unique Results'!A:X,6,FALSE)</f>
        <v>IASTED International Conference on Computational Intelligence, Calgary, Alberta, Canada, July 4-6, 2005</v>
      </c>
      <c r="G60" t="str">
        <f>VLOOKUP(Tabelle4[[#This Row],[Key]],'3. Unique Results'!A:X,7,FALSE)</f>
        <v/>
      </c>
      <c r="H60" t="str">
        <f>VLOOKUP(Tabelle4[[#This Row],[Key]],'3. Unique Results'!A:X,8,FALSE)</f>
        <v/>
      </c>
      <c r="I60" t="str">
        <f>VLOOKUP(Tabelle4[[#This Row],[Key]],'3. Unique Results'!A:X,9,FALSE)</f>
        <v/>
      </c>
      <c r="J60" t="str">
        <f>VLOOKUP(Tabelle4[[#This Row],[Key]],'3. Unique Results'!A:X,10,FALSE)</f>
        <v/>
      </c>
      <c r="K60" t="str">
        <f>VLOOKUP(Tabelle4[[#This Row],[Key]],'3. Unique Results'!A:X,11,FALSE)</f>
        <v>2005</v>
      </c>
      <c r="L60">
        <f>VLOOKUP(Tabelle4[[#This Row],[Key]],'3. Unique Results'!A:X,12,FALSE)</f>
        <v>44887.363807870373</v>
      </c>
      <c r="M60" s="17">
        <f>VLOOKUP(Tabelle4[[#This Row],[Key]],'3. Unique Results'!A:X,13,FALSE)</f>
        <v>44887.363807870373</v>
      </c>
      <c r="N60" s="17">
        <f>VLOOKUP(Tabelle4[[#This Row],[Key]],'3. Unique Results'!A:X,14,FALSE)</f>
        <v>0</v>
      </c>
      <c r="O60" t="str">
        <f>VLOOKUP(Tabelle4[[#This Row],[Key]],'3. Unique Results'!A:X,15,FALSE)</f>
        <v>141–146</v>
      </c>
      <c r="P60" t="str">
        <f>VLOOKUP(Tabelle4[[#This Row],[Key]],'3. Unique Results'!A:X,16,FALSE)</f>
        <v/>
      </c>
      <c r="Q60" t="str">
        <f>VLOOKUP(Tabelle4[[#This Row],[Key]],'3. Unique Results'!A:X,17,FALSE)</f>
        <v/>
      </c>
      <c r="R60" t="str">
        <f>VLOOKUP(Tabelle4[[#This Row],[Key]],'3. Unique Results'!A:X,18,FALSE)</f>
        <v/>
      </c>
      <c r="S60" t="str">
        <f>VLOOKUP(Tabelle4[[#This Row],[Key]],'3. Unique Results'!A:X,19,FALSE)</f>
        <v/>
      </c>
      <c r="T60" t="str">
        <f>VLOOKUP(Tabelle4[[#This Row],[Key]],'3. Unique Results'!A:X,20,FALSE)</f>
        <v>IASTED/ACTA Press</v>
      </c>
      <c r="U60" t="str">
        <f>VLOOKUP(Tabelle4[[#This Row],[Key]],'3. Unique Results'!A:X,21,FALSE)</f>
        <v/>
      </c>
      <c r="V60" t="str">
        <f>VLOOKUP(Tabelle4[[#This Row],[Key]],'3. Unique Results'!A:X,22,FALSE)</f>
        <v/>
      </c>
      <c r="W60" t="str">
        <f>VLOOKUP(Tabelle4[[#This Row],[Key]],'3. Unique Results'!A:X,23,FALSE)</f>
        <v/>
      </c>
    </row>
    <row r="61" spans="1:23">
      <c r="A61" s="15" t="s">
        <v>5840</v>
      </c>
      <c r="B61" t="str">
        <f>VLOOKUP(Tabelle4[[#This Row],[Key]],'3. Unique Results'!A:X,2,FALSE)</f>
        <v>conferencePaper</v>
      </c>
      <c r="C61">
        <f>VLOOKUP(Tabelle4[[#This Row],[Key]],'3. Unique Results'!A:X,3,FALSE)</f>
        <v>2011</v>
      </c>
      <c r="D61" t="str">
        <f>VLOOKUP(Tabelle4[[#This Row],[Key]],'3. Unique Results'!A:X,4,FALSE)</f>
        <v>Sujeeth, Arvind K.; Lee, HyoukJoong; Brown, Kevin J.; Rompf, Tiark; Chafi, Hassan; Wu, Michael; Atreya, Anand R.; Odersky, Martin; Olukotun, Kunle</v>
      </c>
      <c r="E61" t="str">
        <f>VLOOKUP(Tabelle4[[#This Row],[Key]],'3. Unique Results'!A:X,5,FALSE)</f>
        <v>OptiML: An Implicitly Parallel Domain-Specific Language for Machine Learning</v>
      </c>
      <c r="F61" t="str">
        <f>VLOOKUP(Tabelle4[[#This Row],[Key]],'3. Unique Results'!A:X,6,FALSE)</f>
        <v>Proceedings of the 28th International Conference on Machine Learning, ICML 2011, Bellevue, Washington, USA, June 28 - July 2, 2011</v>
      </c>
      <c r="G61" t="str">
        <f>VLOOKUP(Tabelle4[[#This Row],[Key]],'3. Unique Results'!A:X,7,FALSE)</f>
        <v/>
      </c>
      <c r="H61" t="str">
        <f>VLOOKUP(Tabelle4[[#This Row],[Key]],'3. Unique Results'!A:X,8,FALSE)</f>
        <v/>
      </c>
      <c r="I61" t="str">
        <f>VLOOKUP(Tabelle4[[#This Row],[Key]],'3. Unique Results'!A:X,9,FALSE)</f>
        <v/>
      </c>
      <c r="J61" t="str">
        <f>VLOOKUP(Tabelle4[[#This Row],[Key]],'3. Unique Results'!A:X,10,FALSE)</f>
        <v>https://icml.cc/2011/papers/373\_icmlpaper.pdf</v>
      </c>
      <c r="K61" t="str">
        <f>VLOOKUP(Tabelle4[[#This Row],[Key]],'3. Unique Results'!A:X,11,FALSE)</f>
        <v>2011</v>
      </c>
      <c r="L61">
        <f>VLOOKUP(Tabelle4[[#This Row],[Key]],'3. Unique Results'!A:X,12,FALSE)</f>
        <v>44887.363807870373</v>
      </c>
      <c r="M61" s="17">
        <f>VLOOKUP(Tabelle4[[#This Row],[Key]],'3. Unique Results'!A:X,13,FALSE)</f>
        <v>44887.363807870373</v>
      </c>
      <c r="N61" s="17">
        <f>VLOOKUP(Tabelle4[[#This Row],[Key]],'3. Unique Results'!A:X,14,FALSE)</f>
        <v>0</v>
      </c>
      <c r="O61" t="str">
        <f>VLOOKUP(Tabelle4[[#This Row],[Key]],'3. Unique Results'!A:X,15,FALSE)</f>
        <v>609–616</v>
      </c>
      <c r="P61" t="str">
        <f>VLOOKUP(Tabelle4[[#This Row],[Key]],'3. Unique Results'!A:X,16,FALSE)</f>
        <v/>
      </c>
      <c r="Q61" t="str">
        <f>VLOOKUP(Tabelle4[[#This Row],[Key]],'3. Unique Results'!A:X,17,FALSE)</f>
        <v/>
      </c>
      <c r="R61" t="str">
        <f>VLOOKUP(Tabelle4[[#This Row],[Key]],'3. Unique Results'!A:X,18,FALSE)</f>
        <v/>
      </c>
      <c r="S61" t="str">
        <f>VLOOKUP(Tabelle4[[#This Row],[Key]],'3. Unique Results'!A:X,19,FALSE)</f>
        <v/>
      </c>
      <c r="T61" t="str">
        <f>VLOOKUP(Tabelle4[[#This Row],[Key]],'3. Unique Results'!A:X,20,FALSE)</f>
        <v>Omnipress</v>
      </c>
      <c r="U61" t="str">
        <f>VLOOKUP(Tabelle4[[#This Row],[Key]],'3. Unique Results'!A:X,21,FALSE)</f>
        <v/>
      </c>
      <c r="V61" t="str">
        <f>VLOOKUP(Tabelle4[[#This Row],[Key]],'3. Unique Results'!A:X,22,FALSE)</f>
        <v/>
      </c>
      <c r="W61" t="str">
        <f>VLOOKUP(Tabelle4[[#This Row],[Key]],'3. Unique Results'!A:X,23,FALSE)</f>
        <v/>
      </c>
    </row>
    <row r="62" spans="1:23">
      <c r="A62" s="14" t="s">
        <v>4456</v>
      </c>
      <c r="B62" t="str">
        <f>VLOOKUP(Tabelle4[[#This Row],[Key]],'3. Unique Results'!A:X,2,FALSE)</f>
        <v>conferencePaper</v>
      </c>
      <c r="C62">
        <f>VLOOKUP(Tabelle4[[#This Row],[Key]],'3. Unique Results'!A:X,3,FALSE)</f>
        <v>2016</v>
      </c>
      <c r="D62" t="str">
        <f>VLOOKUP(Tabelle4[[#This Row],[Key]],'3. Unique Results'!A:X,4,FALSE)</f>
        <v>Portugal, Ivens; Alencar, Paulo S. C.; Cowan, Donald D.</v>
      </c>
      <c r="E62" t="str">
        <f>VLOOKUP(Tabelle4[[#This Row],[Key]],'3. Unique Results'!A:X,5,FALSE)</f>
        <v>A Preliminary Survey on Domain-Specific Languages for Machine Learning in Big Data</v>
      </c>
      <c r="F62" t="str">
        <f>VLOOKUP(Tabelle4[[#This Row],[Key]],'3. Unique Results'!A:X,6,FALSE)</f>
        <v>2016 IEEE International Conference on Software Science, Technology and Engineering, SWSTE 2016, Beer Sheva, Israel, June 23-24, 2016</v>
      </c>
      <c r="G62" t="str">
        <f>VLOOKUP(Tabelle4[[#This Row],[Key]],'3. Unique Results'!A:X,7,FALSE)</f>
        <v/>
      </c>
      <c r="H62" t="str">
        <f>VLOOKUP(Tabelle4[[#This Row],[Key]],'3. Unique Results'!A:X,8,FALSE)</f>
        <v/>
      </c>
      <c r="I62" t="str">
        <f>VLOOKUP(Tabelle4[[#This Row],[Key]],'3. Unique Results'!A:X,9,FALSE)</f>
        <v>10.1109/SWSTE.2016.23</v>
      </c>
      <c r="J62" t="str">
        <f>VLOOKUP(Tabelle4[[#This Row],[Key]],'3. Unique Results'!A:X,10,FALSE)</f>
        <v>https://doi.org/10.1109/SWSTE.2016.23</v>
      </c>
      <c r="K62" t="str">
        <f>VLOOKUP(Tabelle4[[#This Row],[Key]],'3. Unique Results'!A:X,11,FALSE)</f>
        <v>2016</v>
      </c>
      <c r="L62">
        <f>VLOOKUP(Tabelle4[[#This Row],[Key]],'3. Unique Results'!A:X,12,FALSE)</f>
        <v>44887.363807870373</v>
      </c>
      <c r="M62" s="17">
        <f>VLOOKUP(Tabelle4[[#This Row],[Key]],'3. Unique Results'!A:X,13,FALSE)</f>
        <v>44887.363807870373</v>
      </c>
      <c r="N62" s="17">
        <f>VLOOKUP(Tabelle4[[#This Row],[Key]],'3. Unique Results'!A:X,14,FALSE)</f>
        <v>0</v>
      </c>
      <c r="O62" t="str">
        <f>VLOOKUP(Tabelle4[[#This Row],[Key]],'3. Unique Results'!A:X,15,FALSE)</f>
        <v>108–110</v>
      </c>
      <c r="P62" t="str">
        <f>VLOOKUP(Tabelle4[[#This Row],[Key]],'3. Unique Results'!A:X,16,FALSE)</f>
        <v/>
      </c>
      <c r="Q62" t="str">
        <f>VLOOKUP(Tabelle4[[#This Row],[Key]],'3. Unique Results'!A:X,17,FALSE)</f>
        <v/>
      </c>
      <c r="R62" t="str">
        <f>VLOOKUP(Tabelle4[[#This Row],[Key]],'3. Unique Results'!A:X,18,FALSE)</f>
        <v/>
      </c>
      <c r="S62" t="str">
        <f>VLOOKUP(Tabelle4[[#This Row],[Key]],'3. Unique Results'!A:X,19,FALSE)</f>
        <v/>
      </c>
      <c r="T62" t="str">
        <f>VLOOKUP(Tabelle4[[#This Row],[Key]],'3. Unique Results'!A:X,20,FALSE)</f>
        <v>IEEE</v>
      </c>
      <c r="U62" t="str">
        <f>VLOOKUP(Tabelle4[[#This Row],[Key]],'3. Unique Results'!A:X,21,FALSE)</f>
        <v/>
      </c>
      <c r="V62" t="str">
        <f>VLOOKUP(Tabelle4[[#This Row],[Key]],'3. Unique Results'!A:X,22,FALSE)</f>
        <v/>
      </c>
      <c r="W62" t="str">
        <f>VLOOKUP(Tabelle4[[#This Row],[Key]],'3. Unique Results'!A:X,23,FALSE)</f>
        <v/>
      </c>
    </row>
    <row r="63" spans="1:23">
      <c r="A63" s="15" t="s">
        <v>4457</v>
      </c>
      <c r="B63" t="str">
        <f>VLOOKUP(Tabelle4[[#This Row],[Key]],'3. Unique Results'!A:X,2,FALSE)</f>
        <v>conferencePaper</v>
      </c>
      <c r="C63">
        <f>VLOOKUP(Tabelle4[[#This Row],[Key]],'3. Unique Results'!A:X,3,FALSE)</f>
        <v>2020</v>
      </c>
      <c r="D63" t="str">
        <f>VLOOKUP(Tabelle4[[#This Row],[Key]],'3. Unique Results'!A:X,4,FALSE)</f>
        <v>Zucker, Julian; d'Leeuwen, Myraeka</v>
      </c>
      <c r="E63" t="str">
        <f>VLOOKUP(Tabelle4[[#This Row],[Key]],'3. Unique Results'!A:X,5,FALSE)</f>
        <v>Arbiter: A Domain-Specific Language for Ethical Machine Learning</v>
      </c>
      <c r="F63" t="str">
        <f>VLOOKUP(Tabelle4[[#This Row],[Key]],'3. Unique Results'!A:X,6,FALSE)</f>
        <v>AIES '20: AAAI/ACM Conference on AI, Ethics, and Society, New York, NY, USA, February 7-8, 2020</v>
      </c>
      <c r="G63" t="str">
        <f>VLOOKUP(Tabelle4[[#This Row],[Key]],'3. Unique Results'!A:X,7,FALSE)</f>
        <v/>
      </c>
      <c r="H63" t="str">
        <f>VLOOKUP(Tabelle4[[#This Row],[Key]],'3. Unique Results'!A:X,8,FALSE)</f>
        <v/>
      </c>
      <c r="I63" t="str">
        <f>VLOOKUP(Tabelle4[[#This Row],[Key]],'3. Unique Results'!A:X,9,FALSE)</f>
        <v>10.1145/3375627.3375858</v>
      </c>
      <c r="J63" t="str">
        <f>VLOOKUP(Tabelle4[[#This Row],[Key]],'3. Unique Results'!A:X,10,FALSE)</f>
        <v>https://doi.org/10.1145/3375627.3375858</v>
      </c>
      <c r="K63" t="str">
        <f>VLOOKUP(Tabelle4[[#This Row],[Key]],'3. Unique Results'!A:X,11,FALSE)</f>
        <v>2020</v>
      </c>
      <c r="L63">
        <f>VLOOKUP(Tabelle4[[#This Row],[Key]],'3. Unique Results'!A:X,12,FALSE)</f>
        <v>44887.363807870373</v>
      </c>
      <c r="M63" s="17">
        <f>VLOOKUP(Tabelle4[[#This Row],[Key]],'3. Unique Results'!A:X,13,FALSE)</f>
        <v>44887.363807870373</v>
      </c>
      <c r="N63" s="17">
        <f>VLOOKUP(Tabelle4[[#This Row],[Key]],'3. Unique Results'!A:X,14,FALSE)</f>
        <v>0</v>
      </c>
      <c r="O63" t="str">
        <f>VLOOKUP(Tabelle4[[#This Row],[Key]],'3. Unique Results'!A:X,15,FALSE)</f>
        <v>421–425</v>
      </c>
      <c r="P63" t="str">
        <f>VLOOKUP(Tabelle4[[#This Row],[Key]],'3. Unique Results'!A:X,16,FALSE)</f>
        <v/>
      </c>
      <c r="Q63" t="str">
        <f>VLOOKUP(Tabelle4[[#This Row],[Key]],'3. Unique Results'!A:X,17,FALSE)</f>
        <v/>
      </c>
      <c r="R63" t="str">
        <f>VLOOKUP(Tabelle4[[#This Row],[Key]],'3. Unique Results'!A:X,18,FALSE)</f>
        <v/>
      </c>
      <c r="S63" t="str">
        <f>VLOOKUP(Tabelle4[[#This Row],[Key]],'3. Unique Results'!A:X,19,FALSE)</f>
        <v/>
      </c>
      <c r="T63" t="str">
        <f>VLOOKUP(Tabelle4[[#This Row],[Key]],'3. Unique Results'!A:X,20,FALSE)</f>
        <v>ACM</v>
      </c>
      <c r="U63" t="str">
        <f>VLOOKUP(Tabelle4[[#This Row],[Key]],'3. Unique Results'!A:X,21,FALSE)</f>
        <v/>
      </c>
      <c r="V63" t="str">
        <f>VLOOKUP(Tabelle4[[#This Row],[Key]],'3. Unique Results'!A:X,22,FALSE)</f>
        <v/>
      </c>
      <c r="W63" t="str">
        <f>VLOOKUP(Tabelle4[[#This Row],[Key]],'3. Unique Results'!A:X,23,FALSE)</f>
        <v/>
      </c>
    </row>
    <row r="64" spans="1:23">
      <c r="A64" s="14" t="s">
        <v>4458</v>
      </c>
      <c r="B64" t="str">
        <f>VLOOKUP(Tabelle4[[#This Row],[Key]],'3. Unique Results'!A:X,2,FALSE)</f>
        <v>journalArticle</v>
      </c>
      <c r="C64">
        <f>VLOOKUP(Tabelle4[[#This Row],[Key]],'3. Unique Results'!A:X,3,FALSE)</f>
        <v>2018</v>
      </c>
      <c r="D64" t="str">
        <f>VLOOKUP(Tabelle4[[#This Row],[Key]],'3. Unique Results'!A:X,4,FALSE)</f>
        <v>Zhao, Tian; Huang, Xiaobing</v>
      </c>
      <c r="E64" t="str">
        <f>VLOOKUP(Tabelle4[[#This Row],[Key]],'3. Unique Results'!A:X,5,FALSE)</f>
        <v>Design and implementation of DeepDSL: A DSL for deep learning</v>
      </c>
      <c r="F64" t="str">
        <f>VLOOKUP(Tabelle4[[#This Row],[Key]],'3. Unique Results'!A:X,6,FALSE)</f>
        <v>Comput. Lang. Syst. Struct.</v>
      </c>
      <c r="G64" t="str">
        <f>VLOOKUP(Tabelle4[[#This Row],[Key]],'3. Unique Results'!A:X,7,FALSE)</f>
        <v/>
      </c>
      <c r="H64" t="str">
        <f>VLOOKUP(Tabelle4[[#This Row],[Key]],'3. Unique Results'!A:X,8,FALSE)</f>
        <v/>
      </c>
      <c r="I64" t="str">
        <f>VLOOKUP(Tabelle4[[#This Row],[Key]],'3. Unique Results'!A:X,9,FALSE)</f>
        <v>10.1016/j.cl.2018.04.004</v>
      </c>
      <c r="J64" t="str">
        <f>VLOOKUP(Tabelle4[[#This Row],[Key]],'3. Unique Results'!A:X,10,FALSE)</f>
        <v>https://doi.org/10.1016/j.cl.2018.04.004</v>
      </c>
      <c r="K64" t="str">
        <f>VLOOKUP(Tabelle4[[#This Row],[Key]],'3. Unique Results'!A:X,11,FALSE)</f>
        <v>2018</v>
      </c>
      <c r="L64">
        <f>VLOOKUP(Tabelle4[[#This Row],[Key]],'3. Unique Results'!A:X,12,FALSE)</f>
        <v>44887.363807870373</v>
      </c>
      <c r="M64" s="17">
        <f>VLOOKUP(Tabelle4[[#This Row],[Key]],'3. Unique Results'!A:X,13,FALSE)</f>
        <v>44887.363807870373</v>
      </c>
      <c r="N64" s="17">
        <f>VLOOKUP(Tabelle4[[#This Row],[Key]],'3. Unique Results'!A:X,14,FALSE)</f>
        <v>0</v>
      </c>
      <c r="O64" t="str">
        <f>VLOOKUP(Tabelle4[[#This Row],[Key]],'3. Unique Results'!A:X,15,FALSE)</f>
        <v>39–70</v>
      </c>
      <c r="P64" t="str">
        <f>VLOOKUP(Tabelle4[[#This Row],[Key]],'3. Unique Results'!A:X,16,FALSE)</f>
        <v/>
      </c>
      <c r="Q64" t="str">
        <f>VLOOKUP(Tabelle4[[#This Row],[Key]],'3. Unique Results'!A:X,17,FALSE)</f>
        <v>54</v>
      </c>
      <c r="R64" t="str">
        <f>VLOOKUP(Tabelle4[[#This Row],[Key]],'3. Unique Results'!A:X,18,FALSE)</f>
        <v/>
      </c>
      <c r="S64" t="str">
        <f>VLOOKUP(Tabelle4[[#This Row],[Key]],'3. Unique Results'!A:X,19,FALSE)</f>
        <v/>
      </c>
      <c r="T64" t="str">
        <f>VLOOKUP(Tabelle4[[#This Row],[Key]],'3. Unique Results'!A:X,20,FALSE)</f>
        <v/>
      </c>
      <c r="U64" t="str">
        <f>VLOOKUP(Tabelle4[[#This Row],[Key]],'3. Unique Results'!A:X,21,FALSE)</f>
        <v/>
      </c>
      <c r="V64" t="str">
        <f>VLOOKUP(Tabelle4[[#This Row],[Key]],'3. Unique Results'!A:X,22,FALSE)</f>
        <v/>
      </c>
      <c r="W64" t="str">
        <f>VLOOKUP(Tabelle4[[#This Row],[Key]],'3. Unique Results'!A:X,23,FALSE)</f>
        <v/>
      </c>
    </row>
    <row r="65" spans="1:23">
      <c r="A65" s="15" t="s">
        <v>4459</v>
      </c>
      <c r="B65" t="str">
        <f>VLOOKUP(Tabelle4[[#This Row],[Key]],'3. Unique Results'!A:X,2,FALSE)</f>
        <v>thesis</v>
      </c>
      <c r="C65">
        <f>VLOOKUP(Tabelle4[[#This Row],[Key]],'3. Unique Results'!A:X,3,FALSE)</f>
        <v>2021</v>
      </c>
      <c r="D65" t="str">
        <f>VLOOKUP(Tabelle4[[#This Row],[Key]],'3. Unique Results'!A:X,4,FALSE)</f>
        <v>Kusmenko, Evgeny</v>
      </c>
      <c r="E65" t="str">
        <f>VLOOKUP(Tabelle4[[#This Row],[Key]],'3. Unique Results'!A:X,5,FALSE)</f>
        <v>Model-Driven Development Methodology and Domain-Specific Languages for the Design of Artificial Intelligence in Cyber-Physical Systems</v>
      </c>
      <c r="F65" t="str">
        <f>VLOOKUP(Tabelle4[[#This Row],[Key]],'3. Unique Results'!A:X,6,FALSE)</f>
        <v/>
      </c>
      <c r="G65" t="str">
        <f>VLOOKUP(Tabelle4[[#This Row],[Key]],'3. Unique Results'!A:X,7,FALSE)</f>
        <v/>
      </c>
      <c r="H65" t="str">
        <f>VLOOKUP(Tabelle4[[#This Row],[Key]],'3. Unique Results'!A:X,8,FALSE)</f>
        <v/>
      </c>
      <c r="I65" t="str">
        <f>VLOOKUP(Tabelle4[[#This Row],[Key]],'3. Unique Results'!A:X,9,FALSE)</f>
        <v/>
      </c>
      <c r="J65" t="str">
        <f>VLOOKUP(Tabelle4[[#This Row],[Key]],'3. Unique Results'!A:X,10,FALSE)</f>
        <v>https://publications.rwth-aachen.de/record/835778</v>
      </c>
      <c r="K65" t="str">
        <f>VLOOKUP(Tabelle4[[#This Row],[Key]],'3. Unique Results'!A:X,11,FALSE)</f>
        <v>2021</v>
      </c>
      <c r="L65">
        <f>VLOOKUP(Tabelle4[[#This Row],[Key]],'3. Unique Results'!A:X,12,FALSE)</f>
        <v>44887.363807870373</v>
      </c>
      <c r="M65" s="17">
        <f>VLOOKUP(Tabelle4[[#This Row],[Key]],'3. Unique Results'!A:X,13,FALSE)</f>
        <v>44887.363807870373</v>
      </c>
      <c r="N65" s="17">
        <f>VLOOKUP(Tabelle4[[#This Row],[Key]],'3. Unique Results'!A:X,14,FALSE)</f>
        <v>0</v>
      </c>
      <c r="O65" t="str">
        <f>VLOOKUP(Tabelle4[[#This Row],[Key]],'3. Unique Results'!A:X,15,FALSE)</f>
        <v/>
      </c>
      <c r="P65" t="str">
        <f>VLOOKUP(Tabelle4[[#This Row],[Key]],'3. Unique Results'!A:X,16,FALSE)</f>
        <v/>
      </c>
      <c r="Q65" t="str">
        <f>VLOOKUP(Tabelle4[[#This Row],[Key]],'3. Unique Results'!A:X,17,FALSE)</f>
        <v/>
      </c>
      <c r="R65" t="str">
        <f>VLOOKUP(Tabelle4[[#This Row],[Key]],'3. Unique Results'!A:X,18,FALSE)</f>
        <v/>
      </c>
      <c r="S65" t="str">
        <f>VLOOKUP(Tabelle4[[#This Row],[Key]],'3. Unique Results'!A:X,19,FALSE)</f>
        <v/>
      </c>
      <c r="T65" t="str">
        <f>VLOOKUP(Tabelle4[[#This Row],[Key]],'3. Unique Results'!A:X,20,FALSE)</f>
        <v>RWTH Aachen University, Germany</v>
      </c>
      <c r="U65" t="str">
        <f>VLOOKUP(Tabelle4[[#This Row],[Key]],'3. Unique Results'!A:X,21,FALSE)</f>
        <v/>
      </c>
      <c r="V65" t="str">
        <f>VLOOKUP(Tabelle4[[#This Row],[Key]],'3. Unique Results'!A:X,22,FALSE)</f>
        <v/>
      </c>
      <c r="W65" t="str">
        <f>VLOOKUP(Tabelle4[[#This Row],[Key]],'3. Unique Results'!A:X,23,FALSE)</f>
        <v/>
      </c>
    </row>
    <row r="66" spans="1:23">
      <c r="A66" s="14" t="s">
        <v>5843</v>
      </c>
      <c r="B66" t="str">
        <f>VLOOKUP(Tabelle4[[#This Row],[Key]],'3. Unique Results'!A:X,2,FALSE)</f>
        <v>conferencePaper</v>
      </c>
      <c r="C66">
        <f>VLOOKUP(Tabelle4[[#This Row],[Key]],'3. Unique Results'!A:X,3,FALSE)</f>
        <v>2015</v>
      </c>
      <c r="D66" t="str">
        <f>VLOOKUP(Tabelle4[[#This Row],[Key]],'3. Unique Results'!A:X,4,FALSE)</f>
        <v>Elkahky, Ali Mamdouh; Song, Yang; He, Xiaodong</v>
      </c>
      <c r="E66" t="str">
        <f>VLOOKUP(Tabelle4[[#This Row],[Key]],'3. Unique Results'!A:X,5,FALSE)</f>
        <v>A Multi-View Deep Learning Approach for Cross Domain User Modeling in Recommendation Systems</v>
      </c>
      <c r="F66" t="str">
        <f>VLOOKUP(Tabelle4[[#This Row],[Key]],'3. Unique Results'!A:X,6,FALSE)</f>
        <v>Proceedings of the 24th International Conference on World Wide Web, WWW 2015, Florence, Italy, May 18-22, 2015</v>
      </c>
      <c r="G66" t="str">
        <f>VLOOKUP(Tabelle4[[#This Row],[Key]],'3. Unique Results'!A:X,7,FALSE)</f>
        <v/>
      </c>
      <c r="H66" t="str">
        <f>VLOOKUP(Tabelle4[[#This Row],[Key]],'3. Unique Results'!A:X,8,FALSE)</f>
        <v/>
      </c>
      <c r="I66" t="str">
        <f>VLOOKUP(Tabelle4[[#This Row],[Key]],'3. Unique Results'!A:X,9,FALSE)</f>
        <v>10.1145/2736277.2741667</v>
      </c>
      <c r="J66" t="str">
        <f>VLOOKUP(Tabelle4[[#This Row],[Key]],'3. Unique Results'!A:X,10,FALSE)</f>
        <v>https://doi.org/10.1145/2736277.2741667</v>
      </c>
      <c r="K66" t="str">
        <f>VLOOKUP(Tabelle4[[#This Row],[Key]],'3. Unique Results'!A:X,11,FALSE)</f>
        <v>2015</v>
      </c>
      <c r="L66">
        <f>VLOOKUP(Tabelle4[[#This Row],[Key]],'3. Unique Results'!A:X,12,FALSE)</f>
        <v>44887.363807870373</v>
      </c>
      <c r="M66" s="17">
        <f>VLOOKUP(Tabelle4[[#This Row],[Key]],'3. Unique Results'!A:X,13,FALSE)</f>
        <v>44887.363807870373</v>
      </c>
      <c r="N66" s="17">
        <f>VLOOKUP(Tabelle4[[#This Row],[Key]],'3. Unique Results'!A:X,14,FALSE)</f>
        <v>0</v>
      </c>
      <c r="O66" t="str">
        <f>VLOOKUP(Tabelle4[[#This Row],[Key]],'3. Unique Results'!A:X,15,FALSE)</f>
        <v>278–288</v>
      </c>
      <c r="P66" t="str">
        <f>VLOOKUP(Tabelle4[[#This Row],[Key]],'3. Unique Results'!A:X,16,FALSE)</f>
        <v/>
      </c>
      <c r="Q66" t="str">
        <f>VLOOKUP(Tabelle4[[#This Row],[Key]],'3. Unique Results'!A:X,17,FALSE)</f>
        <v/>
      </c>
      <c r="R66" t="str">
        <f>VLOOKUP(Tabelle4[[#This Row],[Key]],'3. Unique Results'!A:X,18,FALSE)</f>
        <v/>
      </c>
      <c r="S66" t="str">
        <f>VLOOKUP(Tabelle4[[#This Row],[Key]],'3. Unique Results'!A:X,19,FALSE)</f>
        <v/>
      </c>
      <c r="T66" t="str">
        <f>VLOOKUP(Tabelle4[[#This Row],[Key]],'3. Unique Results'!A:X,20,FALSE)</f>
        <v>ACM</v>
      </c>
      <c r="U66" t="str">
        <f>VLOOKUP(Tabelle4[[#This Row],[Key]],'3. Unique Results'!A:X,21,FALSE)</f>
        <v/>
      </c>
      <c r="V66" t="str">
        <f>VLOOKUP(Tabelle4[[#This Row],[Key]],'3. Unique Results'!A:X,22,FALSE)</f>
        <v/>
      </c>
      <c r="W66" t="str">
        <f>VLOOKUP(Tabelle4[[#This Row],[Key]],'3. Unique Results'!A:X,23,FALSE)</f>
        <v/>
      </c>
    </row>
    <row r="67" spans="1:23">
      <c r="A67" s="15" t="s">
        <v>5845</v>
      </c>
      <c r="B67" t="str">
        <f>VLOOKUP(Tabelle4[[#This Row],[Key]],'3. Unique Results'!A:X,2,FALSE)</f>
        <v>conferencePaper</v>
      </c>
      <c r="C67">
        <f>VLOOKUP(Tabelle4[[#This Row],[Key]],'3. Unique Results'!A:X,3,FALSE)</f>
        <v>2016</v>
      </c>
      <c r="D67" t="str">
        <f>VLOOKUP(Tabelle4[[#This Row],[Key]],'3. Unique Results'!A:X,4,FALSE)</f>
        <v>Zhu, Jing; Gong, Xinwei; Chen, Guilin</v>
      </c>
      <c r="E67" t="str">
        <f>VLOOKUP(Tabelle4[[#This Row],[Key]],'3. Unique Results'!A:X,5,FALSE)</f>
        <v>Deep Learning Based Language Modeling for Domain-Specific Speech Recognition</v>
      </c>
      <c r="F67" t="str">
        <f>VLOOKUP(Tabelle4[[#This Row],[Key]],'3. Unique Results'!A:X,6,FALSE)</f>
        <v>Digital TV and Wireless Multimedia Communication - 13th International Forum, IFTC 2016, Shanghai, China, November 9-10, 2016, Revised Selected Papers</v>
      </c>
      <c r="G67" t="str">
        <f>VLOOKUP(Tabelle4[[#This Row],[Key]],'3. Unique Results'!A:X,7,FALSE)</f>
        <v/>
      </c>
      <c r="H67" t="str">
        <f>VLOOKUP(Tabelle4[[#This Row],[Key]],'3. Unique Results'!A:X,8,FALSE)</f>
        <v/>
      </c>
      <c r="I67" t="str">
        <f>VLOOKUP(Tabelle4[[#This Row],[Key]],'3. Unique Results'!A:X,9,FALSE)</f>
        <v>10.1007/978-981-10-4211-9_24</v>
      </c>
      <c r="J67" t="str">
        <f>VLOOKUP(Tabelle4[[#This Row],[Key]],'3. Unique Results'!A:X,10,FALSE)</f>
        <v>https://doi.org/10.1007/978-981-10-4211-9\_24</v>
      </c>
      <c r="K67" t="str">
        <f>VLOOKUP(Tabelle4[[#This Row],[Key]],'3. Unique Results'!A:X,11,FALSE)</f>
        <v>2016</v>
      </c>
      <c r="L67">
        <f>VLOOKUP(Tabelle4[[#This Row],[Key]],'3. Unique Results'!A:X,12,FALSE)</f>
        <v>44887.363807870373</v>
      </c>
      <c r="M67" s="17">
        <f>VLOOKUP(Tabelle4[[#This Row],[Key]],'3. Unique Results'!A:X,13,FALSE)</f>
        <v>44887.363807870373</v>
      </c>
      <c r="N67" s="17">
        <f>VLOOKUP(Tabelle4[[#This Row],[Key]],'3. Unique Results'!A:X,14,FALSE)</f>
        <v>0</v>
      </c>
      <c r="O67" t="str">
        <f>VLOOKUP(Tabelle4[[#This Row],[Key]],'3. Unique Results'!A:X,15,FALSE)</f>
        <v>242–251</v>
      </c>
      <c r="P67" t="str">
        <f>VLOOKUP(Tabelle4[[#This Row],[Key]],'3. Unique Results'!A:X,16,FALSE)</f>
        <v/>
      </c>
      <c r="Q67" t="str">
        <f>VLOOKUP(Tabelle4[[#This Row],[Key]],'3. Unique Results'!A:X,17,FALSE)</f>
        <v>685</v>
      </c>
      <c r="R67" t="str">
        <f>VLOOKUP(Tabelle4[[#This Row],[Key]],'3. Unique Results'!A:X,18,FALSE)</f>
        <v/>
      </c>
      <c r="S67" t="str">
        <f>VLOOKUP(Tabelle4[[#This Row],[Key]],'3. Unique Results'!A:X,19,FALSE)</f>
        <v/>
      </c>
      <c r="T67" t="str">
        <f>VLOOKUP(Tabelle4[[#This Row],[Key]],'3. Unique Results'!A:X,20,FALSE)</f>
        <v>Springer</v>
      </c>
      <c r="U67" t="str">
        <f>VLOOKUP(Tabelle4[[#This Row],[Key]],'3. Unique Results'!A:X,21,FALSE)</f>
        <v/>
      </c>
      <c r="V67" t="str">
        <f>VLOOKUP(Tabelle4[[#This Row],[Key]],'3. Unique Results'!A:X,22,FALSE)</f>
        <v/>
      </c>
      <c r="W67" t="str">
        <f>VLOOKUP(Tabelle4[[#This Row],[Key]],'3. Unique Results'!A:X,23,FALSE)</f>
        <v/>
      </c>
    </row>
    <row r="68" spans="1:23">
      <c r="A68" s="14" t="s">
        <v>5848</v>
      </c>
      <c r="B68" t="str">
        <f>VLOOKUP(Tabelle4[[#This Row],[Key]],'3. Unique Results'!A:X,2,FALSE)</f>
        <v>conferencePaper</v>
      </c>
      <c r="C68">
        <f>VLOOKUP(Tabelle4[[#This Row],[Key]],'3. Unique Results'!A:X,3,FALSE)</f>
        <v>2004</v>
      </c>
      <c r="D68" t="str">
        <f>VLOOKUP(Tabelle4[[#This Row],[Key]],'3. Unique Results'!A:X,4,FALSE)</f>
        <v>Zhou, Yue; Kong, Wei; Xu, Qing</v>
      </c>
      <c r="E68" t="str">
        <f>VLOOKUP(Tabelle4[[#This Row],[Key]],'3. Unique Results'!A:X,5,FALSE)</f>
        <v>A Novel Modeling and Recognition Method for Underwater Sound Based on HMT in Wavelet Domain</v>
      </c>
      <c r="F68" t="str">
        <f>VLOOKUP(Tabelle4[[#This Row],[Key]],'3. Unique Results'!A:X,6,FALSE)</f>
        <v>AI 2004: Advances in Artificial Intelligence, 17th Australian Joint Conference on Artificial Intelligence, Cairns, Australia, December 4-6, 2004, Proceedings</v>
      </c>
      <c r="G68" t="str">
        <f>VLOOKUP(Tabelle4[[#This Row],[Key]],'3. Unique Results'!A:X,7,FALSE)</f>
        <v/>
      </c>
      <c r="H68" t="str">
        <f>VLOOKUP(Tabelle4[[#This Row],[Key]],'3. Unique Results'!A:X,8,FALSE)</f>
        <v/>
      </c>
      <c r="I68" t="str">
        <f>VLOOKUP(Tabelle4[[#This Row],[Key]],'3. Unique Results'!A:X,9,FALSE)</f>
        <v>10.1007/978-3-540-30549-1_30</v>
      </c>
      <c r="J68" t="str">
        <f>VLOOKUP(Tabelle4[[#This Row],[Key]],'3. Unique Results'!A:X,10,FALSE)</f>
        <v>https://doi.org/10.1007/978-3-540-30549-1\_30</v>
      </c>
      <c r="K68" t="str">
        <f>VLOOKUP(Tabelle4[[#This Row],[Key]],'3. Unique Results'!A:X,11,FALSE)</f>
        <v>2004</v>
      </c>
      <c r="L68">
        <f>VLOOKUP(Tabelle4[[#This Row],[Key]],'3. Unique Results'!A:X,12,FALSE)</f>
        <v>44887.363807870373</v>
      </c>
      <c r="M68" s="17">
        <f>VLOOKUP(Tabelle4[[#This Row],[Key]],'3. Unique Results'!A:X,13,FALSE)</f>
        <v>44887.363807870373</v>
      </c>
      <c r="N68" s="17">
        <f>VLOOKUP(Tabelle4[[#This Row],[Key]],'3. Unique Results'!A:X,14,FALSE)</f>
        <v>0</v>
      </c>
      <c r="O68" t="str">
        <f>VLOOKUP(Tabelle4[[#This Row],[Key]],'3. Unique Results'!A:X,15,FALSE)</f>
        <v>332–343</v>
      </c>
      <c r="P68" t="str">
        <f>VLOOKUP(Tabelle4[[#This Row],[Key]],'3. Unique Results'!A:X,16,FALSE)</f>
        <v/>
      </c>
      <c r="Q68" t="str">
        <f>VLOOKUP(Tabelle4[[#This Row],[Key]],'3. Unique Results'!A:X,17,FALSE)</f>
        <v>3339</v>
      </c>
      <c r="R68" t="str">
        <f>VLOOKUP(Tabelle4[[#This Row],[Key]],'3. Unique Results'!A:X,18,FALSE)</f>
        <v/>
      </c>
      <c r="S68" t="str">
        <f>VLOOKUP(Tabelle4[[#This Row],[Key]],'3. Unique Results'!A:X,19,FALSE)</f>
        <v/>
      </c>
      <c r="T68" t="str">
        <f>VLOOKUP(Tabelle4[[#This Row],[Key]],'3. Unique Results'!A:X,20,FALSE)</f>
        <v>Springer</v>
      </c>
      <c r="U68" t="str">
        <f>VLOOKUP(Tabelle4[[#This Row],[Key]],'3. Unique Results'!A:X,21,FALSE)</f>
        <v/>
      </c>
      <c r="V68" t="str">
        <f>VLOOKUP(Tabelle4[[#This Row],[Key]],'3. Unique Results'!A:X,22,FALSE)</f>
        <v/>
      </c>
      <c r="W68" t="str">
        <f>VLOOKUP(Tabelle4[[#This Row],[Key]],'3. Unique Results'!A:X,23,FALSE)</f>
        <v/>
      </c>
    </row>
    <row r="69" spans="1:23">
      <c r="A69" s="15" t="s">
        <v>5851</v>
      </c>
      <c r="B69" t="str">
        <f>VLOOKUP(Tabelle4[[#This Row],[Key]],'3. Unique Results'!A:X,2,FALSE)</f>
        <v>thesis</v>
      </c>
      <c r="C69">
        <f>VLOOKUP(Tabelle4[[#This Row],[Key]],'3. Unique Results'!A:X,3,FALSE)</f>
        <v>2014</v>
      </c>
      <c r="D69" t="str">
        <f>VLOOKUP(Tabelle4[[#This Row],[Key]],'3. Unique Results'!A:X,4,FALSE)</f>
        <v>Abdel-Fattah, Ahmed Mohammed Hassan</v>
      </c>
      <c r="E69" t="str">
        <f>VLOOKUP(Tabelle4[[#This Row],[Key]],'3. Unique Results'!A:X,5,FALSE)</f>
        <v>Utilizing cross-domain cognitive mechansims for modeling aspects of artificial general intelligence</v>
      </c>
      <c r="F69" t="str">
        <f>VLOOKUP(Tabelle4[[#This Row],[Key]],'3. Unique Results'!A:X,6,FALSE)</f>
        <v/>
      </c>
      <c r="G69" t="str">
        <f>VLOOKUP(Tabelle4[[#This Row],[Key]],'3. Unique Results'!A:X,7,FALSE)</f>
        <v/>
      </c>
      <c r="H69" t="str">
        <f>VLOOKUP(Tabelle4[[#This Row],[Key]],'3. Unique Results'!A:X,8,FALSE)</f>
        <v/>
      </c>
      <c r="I69" t="str">
        <f>VLOOKUP(Tabelle4[[#This Row],[Key]],'3. Unique Results'!A:X,9,FALSE)</f>
        <v/>
      </c>
      <c r="J69" t="str">
        <f>VLOOKUP(Tabelle4[[#This Row],[Key]],'3. Unique Results'!A:X,10,FALSE)</f>
        <v>https://d-nb.info/1051609224</v>
      </c>
      <c r="K69" t="str">
        <f>VLOOKUP(Tabelle4[[#This Row],[Key]],'3. Unique Results'!A:X,11,FALSE)</f>
        <v>2014</v>
      </c>
      <c r="L69">
        <f>VLOOKUP(Tabelle4[[#This Row],[Key]],'3. Unique Results'!A:X,12,FALSE)</f>
        <v>44887.363807870373</v>
      </c>
      <c r="M69" s="17">
        <f>VLOOKUP(Tabelle4[[#This Row],[Key]],'3. Unique Results'!A:X,13,FALSE)</f>
        <v>44887.363807870373</v>
      </c>
      <c r="N69" s="17">
        <f>VLOOKUP(Tabelle4[[#This Row],[Key]],'3. Unique Results'!A:X,14,FALSE)</f>
        <v>0</v>
      </c>
      <c r="O69" t="str">
        <f>VLOOKUP(Tabelle4[[#This Row],[Key]],'3. Unique Results'!A:X,15,FALSE)</f>
        <v/>
      </c>
      <c r="P69" t="str">
        <f>VLOOKUP(Tabelle4[[#This Row],[Key]],'3. Unique Results'!A:X,16,FALSE)</f>
        <v/>
      </c>
      <c r="Q69" t="str">
        <f>VLOOKUP(Tabelle4[[#This Row],[Key]],'3. Unique Results'!A:X,17,FALSE)</f>
        <v/>
      </c>
      <c r="R69" t="str">
        <f>VLOOKUP(Tabelle4[[#This Row],[Key]],'3. Unique Results'!A:X,18,FALSE)</f>
        <v/>
      </c>
      <c r="S69" t="str">
        <f>VLOOKUP(Tabelle4[[#This Row],[Key]],'3. Unique Results'!A:X,19,FALSE)</f>
        <v/>
      </c>
      <c r="T69" t="str">
        <f>VLOOKUP(Tabelle4[[#This Row],[Key]],'3. Unique Results'!A:X,20,FALSE)</f>
        <v>University of Osnabrück</v>
      </c>
      <c r="U69" t="str">
        <f>VLOOKUP(Tabelle4[[#This Row],[Key]],'3. Unique Results'!A:X,21,FALSE)</f>
        <v/>
      </c>
      <c r="V69" t="str">
        <f>VLOOKUP(Tabelle4[[#This Row],[Key]],'3. Unique Results'!A:X,22,FALSE)</f>
        <v/>
      </c>
      <c r="W69" t="str">
        <f>VLOOKUP(Tabelle4[[#This Row],[Key]],'3. Unique Results'!A:X,23,FALSE)</f>
        <v/>
      </c>
    </row>
    <row r="70" spans="1:23">
      <c r="A70" s="14" t="s">
        <v>5852</v>
      </c>
      <c r="B70" t="str">
        <f>VLOOKUP(Tabelle4[[#This Row],[Key]],'3. Unique Results'!A:X,2,FALSE)</f>
        <v>journalArticle</v>
      </c>
      <c r="C70">
        <f>VLOOKUP(Tabelle4[[#This Row],[Key]],'3. Unique Results'!A:X,3,FALSE)</f>
        <v>2022</v>
      </c>
      <c r="D70" t="str">
        <f>VLOOKUP(Tabelle4[[#This Row],[Key]],'3. Unique Results'!A:X,4,FALSE)</f>
        <v>Sunkle, Sagar; Saxena, Krati; Patil, Ashwini; Kulkarni, Vinay</v>
      </c>
      <c r="E70" t="str">
        <f>VLOOKUP(Tabelle4[[#This Row],[Key]],'3. Unique Results'!A:X,5,FALSE)</f>
        <v>AI-driven streamlined modeling: experiences and lessons learned from multiple domains</v>
      </c>
      <c r="F70" t="str">
        <f>VLOOKUP(Tabelle4[[#This Row],[Key]],'3. Unique Results'!A:X,6,FALSE)</f>
        <v>Softw. Syst. Model.</v>
      </c>
      <c r="G70" t="str">
        <f>VLOOKUP(Tabelle4[[#This Row],[Key]],'3. Unique Results'!A:X,7,FALSE)</f>
        <v/>
      </c>
      <c r="H70" t="str">
        <f>VLOOKUP(Tabelle4[[#This Row],[Key]],'3. Unique Results'!A:X,8,FALSE)</f>
        <v/>
      </c>
      <c r="I70" t="str">
        <f>VLOOKUP(Tabelle4[[#This Row],[Key]],'3. Unique Results'!A:X,9,FALSE)</f>
        <v>10.1007/s10270-022-00982-6</v>
      </c>
      <c r="J70" t="str">
        <f>VLOOKUP(Tabelle4[[#This Row],[Key]],'3. Unique Results'!A:X,10,FALSE)</f>
        <v>https://doi.org/10.1007/s10270-022-00982-6</v>
      </c>
      <c r="K70" t="str">
        <f>VLOOKUP(Tabelle4[[#This Row],[Key]],'3. Unique Results'!A:X,11,FALSE)</f>
        <v>2022</v>
      </c>
      <c r="L70">
        <f>VLOOKUP(Tabelle4[[#This Row],[Key]],'3. Unique Results'!A:X,12,FALSE)</f>
        <v>44887.363807870373</v>
      </c>
      <c r="M70" s="17">
        <f>VLOOKUP(Tabelle4[[#This Row],[Key]],'3. Unique Results'!A:X,13,FALSE)</f>
        <v>44887.363807870373</v>
      </c>
      <c r="N70" s="17">
        <f>VLOOKUP(Tabelle4[[#This Row],[Key]],'3. Unique Results'!A:X,14,FALSE)</f>
        <v>0</v>
      </c>
      <c r="O70" t="str">
        <f>VLOOKUP(Tabelle4[[#This Row],[Key]],'3. Unique Results'!A:X,15,FALSE)</f>
        <v>1–23</v>
      </c>
      <c r="P70" t="str">
        <f>VLOOKUP(Tabelle4[[#This Row],[Key]],'3. Unique Results'!A:X,16,FALSE)</f>
        <v>3</v>
      </c>
      <c r="Q70" t="str">
        <f>VLOOKUP(Tabelle4[[#This Row],[Key]],'3. Unique Results'!A:X,17,FALSE)</f>
        <v>21</v>
      </c>
      <c r="R70" t="str">
        <f>VLOOKUP(Tabelle4[[#This Row],[Key]],'3. Unique Results'!A:X,18,FALSE)</f>
        <v/>
      </c>
      <c r="S70" t="str">
        <f>VLOOKUP(Tabelle4[[#This Row],[Key]],'3. Unique Results'!A:X,19,FALSE)</f>
        <v/>
      </c>
      <c r="T70" t="str">
        <f>VLOOKUP(Tabelle4[[#This Row],[Key]],'3. Unique Results'!A:X,20,FALSE)</f>
        <v/>
      </c>
      <c r="U70" t="str">
        <f>VLOOKUP(Tabelle4[[#This Row],[Key]],'3. Unique Results'!A:X,21,FALSE)</f>
        <v/>
      </c>
      <c r="V70" t="str">
        <f>VLOOKUP(Tabelle4[[#This Row],[Key]],'3. Unique Results'!A:X,22,FALSE)</f>
        <v/>
      </c>
      <c r="W70" t="str">
        <f>VLOOKUP(Tabelle4[[#This Row],[Key]],'3. Unique Results'!A:X,23,FALSE)</f>
        <v/>
      </c>
    </row>
    <row r="71" spans="1:23">
      <c r="A71" s="15" t="s">
        <v>4460</v>
      </c>
      <c r="B71" t="str">
        <f>VLOOKUP(Tabelle4[[#This Row],[Key]],'3. Unique Results'!A:X,2,FALSE)</f>
        <v>conferencePaper</v>
      </c>
      <c r="C71">
        <f>VLOOKUP(Tabelle4[[#This Row],[Key]],'3. Unique Results'!A:X,3,FALSE)</f>
        <v>2022</v>
      </c>
      <c r="D71" t="str">
        <f>VLOOKUP(Tabelle4[[#This Row],[Key]],'3. Unique Results'!A:X,4,FALSE)</f>
        <v>Burnay, Corentin; Giunta, Benito</v>
      </c>
      <c r="E71" t="str">
        <f>VLOOKUP(Tabelle4[[#This Row],[Key]],'3. Unique Results'!A:X,5,FALSE)</f>
        <v>Towards Integrated Model-Driven Engineering Approach to Business Intelligence</v>
      </c>
      <c r="F71" t="str">
        <f>VLOOKUP(Tabelle4[[#This Row],[Key]],'3. Unique Results'!A:X,6,FALSE)</f>
        <v>Research Challenges in Information Science</v>
      </c>
      <c r="G71" t="str">
        <f>VLOOKUP(Tabelle4[[#This Row],[Key]],'3. Unique Results'!A:X,7,FALSE)</f>
        <v>978-3-031-05759-5 978-3-031-05760-1</v>
      </c>
      <c r="H71" t="str">
        <f>VLOOKUP(Tabelle4[[#This Row],[Key]],'3. Unique Results'!A:X,8,FALSE)</f>
        <v/>
      </c>
      <c r="I71" t="str">
        <f>VLOOKUP(Tabelle4[[#This Row],[Key]],'3. Unique Results'!A:X,9,FALSE)</f>
        <v/>
      </c>
      <c r="J71" t="str">
        <f>VLOOKUP(Tabelle4[[#This Row],[Key]],'3. Unique Results'!A:X,10,FALSE)</f>
        <v>https://link.springer.com/10.1007/978-3-031-05760-1_38</v>
      </c>
      <c r="K71" t="str">
        <f>VLOOKUP(Tabelle4[[#This Row],[Key]],'3. Unique Results'!A:X,11,FALSE)</f>
        <v>2022</v>
      </c>
      <c r="L71">
        <f>VLOOKUP(Tabelle4[[#This Row],[Key]],'3. Unique Results'!A:X,12,FALSE)</f>
        <v>44887.363807870373</v>
      </c>
      <c r="M71" s="17">
        <f>VLOOKUP(Tabelle4[[#This Row],[Key]],'3. Unique Results'!A:X,13,FALSE)</f>
        <v>44887.363807870373</v>
      </c>
      <c r="N71" s="17">
        <f>VLOOKUP(Tabelle4[[#This Row],[Key]],'3. Unique Results'!A:X,14,FALSE)</f>
        <v>44886.598391203705</v>
      </c>
      <c r="O71" t="str">
        <f>VLOOKUP(Tabelle4[[#This Row],[Key]],'3. Unique Results'!A:X,15,FALSE)</f>
        <v>635-643</v>
      </c>
      <c r="P71" t="str">
        <f>VLOOKUP(Tabelle4[[#This Row],[Key]],'3. Unique Results'!A:X,16,FALSE)</f>
        <v/>
      </c>
      <c r="Q71" t="str">
        <f>VLOOKUP(Tabelle4[[#This Row],[Key]],'3. Unique Results'!A:X,17,FALSE)</f>
        <v>446</v>
      </c>
      <c r="R71" t="str">
        <f>VLOOKUP(Tabelle4[[#This Row],[Key]],'3. Unique Results'!A:X,18,FALSE)</f>
        <v/>
      </c>
      <c r="S71" t="str">
        <f>VLOOKUP(Tabelle4[[#This Row],[Key]],'3. Unique Results'!A:X,19,FALSE)</f>
        <v/>
      </c>
      <c r="T71" t="str">
        <f>VLOOKUP(Tabelle4[[#This Row],[Key]],'3. Unique Results'!A:X,20,FALSE)</f>
        <v>Springer International Publishing</v>
      </c>
      <c r="U71" t="str">
        <f>VLOOKUP(Tabelle4[[#This Row],[Key]],'3. Unique Results'!A:X,21,FALSE)</f>
        <v>Cham</v>
      </c>
      <c r="V71" t="str">
        <f>VLOOKUP(Tabelle4[[#This Row],[Key]],'3. Unique Results'!A:X,22,FALSE)</f>
        <v>en</v>
      </c>
      <c r="W71" t="str">
        <f>VLOOKUP(Tabelle4[[#This Row],[Key]],'3. Unique Results'!A:X,23,FALSE)</f>
        <v>DOI.org (Crossref)</v>
      </c>
    </row>
    <row r="72" spans="1:23">
      <c r="A72" s="14" t="s">
        <v>5853</v>
      </c>
      <c r="B72" t="str">
        <f>VLOOKUP(Tabelle4[[#This Row],[Key]],'3. Unique Results'!A:X,2,FALSE)</f>
        <v>conferencePaper</v>
      </c>
      <c r="C72">
        <f>VLOOKUP(Tabelle4[[#This Row],[Key]],'3. Unique Results'!A:X,3,FALSE)</f>
        <v>2021</v>
      </c>
      <c r="D72" t="str">
        <f>VLOOKUP(Tabelle4[[#This Row],[Key]],'3. Unique Results'!A:X,4,FALSE)</f>
        <v>Feltus, Christophe; Ma, Qin; Proper, Henderik A.; Kelsen, Pierre</v>
      </c>
      <c r="E72" t="str">
        <f>VLOOKUP(Tabelle4[[#This Row],[Key]],'3. Unique Results'!A:X,5,FALSE)</f>
        <v>Towards AI Assisted Domain Modeling</v>
      </c>
      <c r="F72" t="str">
        <f>VLOOKUP(Tabelle4[[#This Row],[Key]],'3. Unique Results'!A:X,6,FALSE)</f>
        <v>Advances in Conceptual Modeling</v>
      </c>
      <c r="G72" t="str">
        <f>VLOOKUP(Tabelle4[[#This Row],[Key]],'3. Unique Results'!A:X,7,FALSE)</f>
        <v>978-3-030-88357-7 978-3-030-88358-4</v>
      </c>
      <c r="H72" t="str">
        <f>VLOOKUP(Tabelle4[[#This Row],[Key]],'3. Unique Results'!A:X,8,FALSE)</f>
        <v/>
      </c>
      <c r="I72" t="str">
        <f>VLOOKUP(Tabelle4[[#This Row],[Key]],'3. Unique Results'!A:X,9,FALSE)</f>
        <v/>
      </c>
      <c r="J72" t="str">
        <f>VLOOKUP(Tabelle4[[#This Row],[Key]],'3. Unique Results'!A:X,10,FALSE)</f>
        <v>https://link.springer.com/10.1007/978-3-030-88358-4_7</v>
      </c>
      <c r="K72" t="str">
        <f>VLOOKUP(Tabelle4[[#This Row],[Key]],'3. Unique Results'!A:X,11,FALSE)</f>
        <v>2021</v>
      </c>
      <c r="L72">
        <f>VLOOKUP(Tabelle4[[#This Row],[Key]],'3. Unique Results'!A:X,12,FALSE)</f>
        <v>44887.363807870373</v>
      </c>
      <c r="M72" s="17">
        <f>VLOOKUP(Tabelle4[[#This Row],[Key]],'3. Unique Results'!A:X,13,FALSE)</f>
        <v>44887.363807870373</v>
      </c>
      <c r="N72" s="17">
        <f>VLOOKUP(Tabelle4[[#This Row],[Key]],'3. Unique Results'!A:X,14,FALSE)</f>
        <v>44886.598020833335</v>
      </c>
      <c r="O72" t="str">
        <f>VLOOKUP(Tabelle4[[#This Row],[Key]],'3. Unique Results'!A:X,15,FALSE)</f>
        <v>75-89</v>
      </c>
      <c r="P72" t="str">
        <f>VLOOKUP(Tabelle4[[#This Row],[Key]],'3. Unique Results'!A:X,16,FALSE)</f>
        <v/>
      </c>
      <c r="Q72" t="str">
        <f>VLOOKUP(Tabelle4[[#This Row],[Key]],'3. Unique Results'!A:X,17,FALSE)</f>
        <v>13012</v>
      </c>
      <c r="R72" t="str">
        <f>VLOOKUP(Tabelle4[[#This Row],[Key]],'3. Unique Results'!A:X,18,FALSE)</f>
        <v/>
      </c>
      <c r="S72" t="str">
        <f>VLOOKUP(Tabelle4[[#This Row],[Key]],'3. Unique Results'!A:X,19,FALSE)</f>
        <v/>
      </c>
      <c r="T72" t="str">
        <f>VLOOKUP(Tabelle4[[#This Row],[Key]],'3. Unique Results'!A:X,20,FALSE)</f>
        <v>Springer International Publishing</v>
      </c>
      <c r="U72" t="str">
        <f>VLOOKUP(Tabelle4[[#This Row],[Key]],'3. Unique Results'!A:X,21,FALSE)</f>
        <v>Cham</v>
      </c>
      <c r="V72" t="str">
        <f>VLOOKUP(Tabelle4[[#This Row],[Key]],'3. Unique Results'!A:X,22,FALSE)</f>
        <v>en</v>
      </c>
      <c r="W72" t="str">
        <f>VLOOKUP(Tabelle4[[#This Row],[Key]],'3. Unique Results'!A:X,23,FALSE)</f>
        <v>DOI.org (Crossref)</v>
      </c>
    </row>
    <row r="73" spans="1:23">
      <c r="A73" s="15" t="s">
        <v>4461</v>
      </c>
      <c r="B73" t="str">
        <f>VLOOKUP(Tabelle4[[#This Row],[Key]],'3. Unique Results'!A:X,2,FALSE)</f>
        <v>conferencePaper</v>
      </c>
      <c r="C73">
        <f>VLOOKUP(Tabelle4[[#This Row],[Key]],'3. Unique Results'!A:X,3,FALSE)</f>
        <v>2019</v>
      </c>
      <c r="D73" t="str">
        <f>VLOOKUP(Tabelle4[[#This Row],[Key]],'3. Unique Results'!A:X,4,FALSE)</f>
        <v>Koseler, Kaan; McGraw, Kelsea; Stephan, Matthew</v>
      </c>
      <c r="E73" t="str">
        <f>VLOOKUP(Tabelle4[[#This Row],[Key]],'3. Unique Results'!A:X,5,FALSE)</f>
        <v>Realization of a Machine Learning Domain Specific Modeling Language: A Baseball Analytics Case Study</v>
      </c>
      <c r="F73" t="str">
        <f>VLOOKUP(Tabelle4[[#This Row],[Key]],'3. Unique Results'!A:X,6,FALSE)</f>
        <v>Proceedings of the 7th International Conference on Model-Driven Engineering and Software Development, MODELSWARD 2019, Prague, Czech Republic, February 20-22, 2019</v>
      </c>
      <c r="G73" t="str">
        <f>VLOOKUP(Tabelle4[[#This Row],[Key]],'3. Unique Results'!A:X,7,FALSE)</f>
        <v/>
      </c>
      <c r="H73" t="str">
        <f>VLOOKUP(Tabelle4[[#This Row],[Key]],'3. Unique Results'!A:X,8,FALSE)</f>
        <v/>
      </c>
      <c r="I73" t="str">
        <f>VLOOKUP(Tabelle4[[#This Row],[Key]],'3. Unique Results'!A:X,9,FALSE)</f>
        <v>10.5220/0007245800150026</v>
      </c>
      <c r="J73" t="str">
        <f>VLOOKUP(Tabelle4[[#This Row],[Key]],'3. Unique Results'!A:X,10,FALSE)</f>
        <v>https://doi.org/10.5220/0007245800150026</v>
      </c>
      <c r="K73" t="str">
        <f>VLOOKUP(Tabelle4[[#This Row],[Key]],'3. Unique Results'!A:X,11,FALSE)</f>
        <v>2019</v>
      </c>
      <c r="L73">
        <f>VLOOKUP(Tabelle4[[#This Row],[Key]],'3. Unique Results'!A:X,12,FALSE)</f>
        <v>44887.363807870373</v>
      </c>
      <c r="M73" s="17">
        <f>VLOOKUP(Tabelle4[[#This Row],[Key]],'3. Unique Results'!A:X,13,FALSE)</f>
        <v>44887.363807870373</v>
      </c>
      <c r="N73" s="17">
        <f>VLOOKUP(Tabelle4[[#This Row],[Key]],'3. Unique Results'!A:X,14,FALSE)</f>
        <v>0</v>
      </c>
      <c r="O73" t="str">
        <f>VLOOKUP(Tabelle4[[#This Row],[Key]],'3. Unique Results'!A:X,15,FALSE)</f>
        <v>13–24</v>
      </c>
      <c r="P73" t="str">
        <f>VLOOKUP(Tabelle4[[#This Row],[Key]],'3. Unique Results'!A:X,16,FALSE)</f>
        <v/>
      </c>
      <c r="Q73" t="str">
        <f>VLOOKUP(Tabelle4[[#This Row],[Key]],'3. Unique Results'!A:X,17,FALSE)</f>
        <v/>
      </c>
      <c r="R73" t="str">
        <f>VLOOKUP(Tabelle4[[#This Row],[Key]],'3. Unique Results'!A:X,18,FALSE)</f>
        <v/>
      </c>
      <c r="S73" t="str">
        <f>VLOOKUP(Tabelle4[[#This Row],[Key]],'3. Unique Results'!A:X,19,FALSE)</f>
        <v/>
      </c>
      <c r="T73" t="str">
        <f>VLOOKUP(Tabelle4[[#This Row],[Key]],'3. Unique Results'!A:X,20,FALSE)</f>
        <v>SciTePress</v>
      </c>
      <c r="U73" t="str">
        <f>VLOOKUP(Tabelle4[[#This Row],[Key]],'3. Unique Results'!A:X,21,FALSE)</f>
        <v/>
      </c>
      <c r="V73" t="str">
        <f>VLOOKUP(Tabelle4[[#This Row],[Key]],'3. Unique Results'!A:X,22,FALSE)</f>
        <v/>
      </c>
      <c r="W73" t="str">
        <f>VLOOKUP(Tabelle4[[#This Row],[Key]],'3. Unique Results'!A:X,23,FALSE)</f>
        <v/>
      </c>
    </row>
    <row r="74" spans="1:23">
      <c r="A74" s="14" t="s">
        <v>4462</v>
      </c>
      <c r="B74" t="str">
        <f>VLOOKUP(Tabelle4[[#This Row],[Key]],'3. Unique Results'!A:X,2,FALSE)</f>
        <v>journalArticle</v>
      </c>
      <c r="C74">
        <f>VLOOKUP(Tabelle4[[#This Row],[Key]],'3. Unique Results'!A:X,3,FALSE)</f>
        <v>2022</v>
      </c>
      <c r="D74" t="str">
        <f>VLOOKUP(Tabelle4[[#This Row],[Key]],'3. Unique Results'!A:X,4,FALSE)</f>
        <v>Morales, Sergio; Clarisó, Robert; Cabot, Jordi</v>
      </c>
      <c r="E74" t="str">
        <f>VLOOKUP(Tabelle4[[#This Row],[Key]],'3. Unique Results'!A:X,5,FALSE)</f>
        <v>Towards a DSL for AI Engineering Process Modeling</v>
      </c>
      <c r="F74" t="str">
        <f>VLOOKUP(Tabelle4[[#This Row],[Key]],'3. Unique Results'!A:X,6,FALSE)</f>
        <v>Product-Focused Software Process Improvement</v>
      </c>
      <c r="G74" t="str">
        <f>VLOOKUP(Tabelle4[[#This Row],[Key]],'3. Unique Results'!A:X,7,FALSE)</f>
        <v/>
      </c>
      <c r="H74" t="str">
        <f>VLOOKUP(Tabelle4[[#This Row],[Key]],'3. Unique Results'!A:X,8,FALSE)</f>
        <v/>
      </c>
      <c r="I74" t="str">
        <f>VLOOKUP(Tabelle4[[#This Row],[Key]],'3. Unique Results'!A:X,9,FALSE)</f>
        <v/>
      </c>
      <c r="J74" t="str">
        <f>VLOOKUP(Tabelle4[[#This Row],[Key]],'3. Unique Results'!A:X,10,FALSE)</f>
        <v>https://link.springer.com/10.1007/978-3-031-21388-5_4</v>
      </c>
      <c r="K74" t="str">
        <f>VLOOKUP(Tabelle4[[#This Row],[Key]],'3. Unique Results'!A:X,11,FALSE)</f>
        <v>2022</v>
      </c>
      <c r="L74">
        <f>VLOOKUP(Tabelle4[[#This Row],[Key]],'3. Unique Results'!A:X,12,FALSE)</f>
        <v>44887.363807870373</v>
      </c>
      <c r="M74" s="17">
        <f>VLOOKUP(Tabelle4[[#This Row],[Key]],'3. Unique Results'!A:X,13,FALSE)</f>
        <v>44887.363807870373</v>
      </c>
      <c r="N74" s="17">
        <f>VLOOKUP(Tabelle4[[#This Row],[Key]],'3. Unique Results'!A:X,14,FALSE)</f>
        <v>44886.597951388889</v>
      </c>
      <c r="O74" t="str">
        <f>VLOOKUP(Tabelle4[[#This Row],[Key]],'3. Unique Results'!A:X,15,FALSE)</f>
        <v>53-60</v>
      </c>
      <c r="P74" t="str">
        <f>VLOOKUP(Tabelle4[[#This Row],[Key]],'3. Unique Results'!A:X,16,FALSE)</f>
        <v/>
      </c>
      <c r="Q74" t="str">
        <f>VLOOKUP(Tabelle4[[#This Row],[Key]],'3. Unique Results'!A:X,17,FALSE)</f>
        <v>13709</v>
      </c>
      <c r="R74" t="str">
        <f>VLOOKUP(Tabelle4[[#This Row],[Key]],'3. Unique Results'!A:X,18,FALSE)</f>
        <v/>
      </c>
      <c r="S74" t="str">
        <f>VLOOKUP(Tabelle4[[#This Row],[Key]],'3. Unique Results'!A:X,19,FALSE)</f>
        <v/>
      </c>
      <c r="T74" t="str">
        <f>VLOOKUP(Tabelle4[[#This Row],[Key]],'3. Unique Results'!A:X,20,FALSE)</f>
        <v/>
      </c>
      <c r="U74" t="str">
        <f>VLOOKUP(Tabelle4[[#This Row],[Key]],'3. Unique Results'!A:X,21,FALSE)</f>
        <v/>
      </c>
      <c r="V74" t="str">
        <f>VLOOKUP(Tabelle4[[#This Row],[Key]],'3. Unique Results'!A:X,22,FALSE)</f>
        <v>en</v>
      </c>
      <c r="W74" t="str">
        <f>VLOOKUP(Tabelle4[[#This Row],[Key]],'3. Unique Results'!A:X,23,FALSE)</f>
        <v>DOI.org (Crossref)</v>
      </c>
    </row>
    <row r="75" spans="1:23">
      <c r="A75" s="15" t="s">
        <v>5859</v>
      </c>
      <c r="B75" t="str">
        <f>VLOOKUP(Tabelle4[[#This Row],[Key]],'3. Unique Results'!A:X,2,FALSE)</f>
        <v>conferencePaper</v>
      </c>
      <c r="C75">
        <f>VLOOKUP(Tabelle4[[#This Row],[Key]],'3. Unique Results'!A:X,3,FALSE)</f>
        <v>2021</v>
      </c>
      <c r="D75" t="str">
        <f>VLOOKUP(Tabelle4[[#This Row],[Key]],'3. Unique Results'!A:X,4,FALSE)</f>
        <v>Kourouklidis, Panagiotis; Kolovos, Dimitris; Noppen, Joost; Matragkas, Nicholas</v>
      </c>
      <c r="E75" t="str">
        <f>VLOOKUP(Tabelle4[[#This Row],[Key]],'3. Unique Results'!A:X,5,FALSE)</f>
        <v>A Model-Driven Engineering Approach for Monitoring Machine Learning Models</v>
      </c>
      <c r="F75" t="str">
        <f>VLOOKUP(Tabelle4[[#This Row],[Key]],'3. Unique Results'!A:X,6,FALSE)</f>
        <v>2021 ACM/IEEE International Conference on Model Driven Engineering Languages and Systems Companion (MODELS-C)</v>
      </c>
      <c r="G75" t="str">
        <f>VLOOKUP(Tabelle4[[#This Row],[Key]],'3. Unique Results'!A:X,7,FALSE)</f>
        <v/>
      </c>
      <c r="H75" t="str">
        <f>VLOOKUP(Tabelle4[[#This Row],[Key]],'3. Unique Results'!A:X,8,FALSE)</f>
        <v/>
      </c>
      <c r="I75" t="str">
        <f>VLOOKUP(Tabelle4[[#This Row],[Key]],'3. Unique Results'!A:X,9,FALSE)</f>
        <v>10.1109/MODELS-C53483.2021.00028</v>
      </c>
      <c r="J75" t="str">
        <f>VLOOKUP(Tabelle4[[#This Row],[Key]],'3. Unique Results'!A:X,10,FALSE)</f>
        <v/>
      </c>
      <c r="K75" t="str">
        <f>VLOOKUP(Tabelle4[[#This Row],[Key]],'3. Unique Results'!A:X,11,FALSE)</f>
        <v>2021</v>
      </c>
      <c r="L75">
        <f>VLOOKUP(Tabelle4[[#This Row],[Key]],'3. Unique Results'!A:X,12,FALSE)</f>
        <v>44887.363807870373</v>
      </c>
      <c r="M75" s="17">
        <f>VLOOKUP(Tabelle4[[#This Row],[Key]],'3. Unique Results'!A:X,13,FALSE)</f>
        <v>44887.363807870373</v>
      </c>
      <c r="N75" s="17">
        <f>VLOOKUP(Tabelle4[[#This Row],[Key]],'3. Unique Results'!A:X,14,FALSE)</f>
        <v>0</v>
      </c>
      <c r="O75" t="str">
        <f>VLOOKUP(Tabelle4[[#This Row],[Key]],'3. Unique Results'!A:X,15,FALSE)</f>
        <v>160-164</v>
      </c>
      <c r="P75" t="str">
        <f>VLOOKUP(Tabelle4[[#This Row],[Key]],'3. Unique Results'!A:X,16,FALSE)</f>
        <v/>
      </c>
      <c r="Q75" t="str">
        <f>VLOOKUP(Tabelle4[[#This Row],[Key]],'3. Unique Results'!A:X,17,FALSE)</f>
        <v/>
      </c>
      <c r="R75" t="str">
        <f>VLOOKUP(Tabelle4[[#This Row],[Key]],'3. Unique Results'!A:X,18,FALSE)</f>
        <v/>
      </c>
      <c r="S75" t="str">
        <f>VLOOKUP(Tabelle4[[#This Row],[Key]],'3. Unique Results'!A:X,19,FALSE)</f>
        <v/>
      </c>
      <c r="T75" t="str">
        <f>VLOOKUP(Tabelle4[[#This Row],[Key]],'3. Unique Results'!A:X,20,FALSE)</f>
        <v/>
      </c>
      <c r="U75" t="str">
        <f>VLOOKUP(Tabelle4[[#This Row],[Key]],'3. Unique Results'!A:X,21,FALSE)</f>
        <v/>
      </c>
      <c r="V75" t="str">
        <f>VLOOKUP(Tabelle4[[#This Row],[Key]],'3. Unique Results'!A:X,22,FALSE)</f>
        <v/>
      </c>
      <c r="W75" t="str">
        <f>VLOOKUP(Tabelle4[[#This Row],[Key]],'3. Unique Results'!A:X,23,FALSE)</f>
        <v/>
      </c>
    </row>
    <row r="76" spans="1:23">
      <c r="A76" s="14" t="s">
        <v>4463</v>
      </c>
      <c r="B76" t="str">
        <f>VLOOKUP(Tabelle4[[#This Row],[Key]],'3. Unique Results'!A:X,2,FALSE)</f>
        <v>journalArticle</v>
      </c>
      <c r="C76">
        <f>VLOOKUP(Tabelle4[[#This Row],[Key]],'3. Unique Results'!A:X,3,FALSE)</f>
        <v>2021</v>
      </c>
      <c r="D76" t="str">
        <f>VLOOKUP(Tabelle4[[#This Row],[Key]],'3. Unique Results'!A:X,4,FALSE)</f>
        <v>Burgueño, Loli; Kessentini, Marouane; Wimmer, Manuel; Zschaler, Steffen</v>
      </c>
      <c r="E76" t="str">
        <f>VLOOKUP(Tabelle4[[#This Row],[Key]],'3. Unique Results'!A:X,5,FALSE)</f>
        <v>MDE Intelligence 2021: 3rd Workshop on Artificial Intelligence and Model-Driven Engineering</v>
      </c>
      <c r="F76" t="str">
        <f>VLOOKUP(Tabelle4[[#This Row],[Key]],'3. Unique Results'!A:X,6,FALSE)</f>
        <v>2021 ACM/IEEE International Conference on Model Driven Engineering Languages and Systems Companion (MODELS-C)</v>
      </c>
      <c r="G76" t="str">
        <f>VLOOKUP(Tabelle4[[#This Row],[Key]],'3. Unique Results'!A:X,7,FALSE)</f>
        <v/>
      </c>
      <c r="H76" t="str">
        <f>VLOOKUP(Tabelle4[[#This Row],[Key]],'3. Unique Results'!A:X,8,FALSE)</f>
        <v/>
      </c>
      <c r="I76" t="str">
        <f>VLOOKUP(Tabelle4[[#This Row],[Key]],'3. Unique Results'!A:X,9,FALSE)</f>
        <v>10.1109/MODELS-C53483.2021.00026</v>
      </c>
      <c r="J76" t="str">
        <f>VLOOKUP(Tabelle4[[#This Row],[Key]],'3. Unique Results'!A:X,10,FALSE)</f>
        <v/>
      </c>
      <c r="K76" t="str">
        <f>VLOOKUP(Tabelle4[[#This Row],[Key]],'3. Unique Results'!A:X,11,FALSE)</f>
        <v>2021</v>
      </c>
      <c r="L76">
        <f>VLOOKUP(Tabelle4[[#This Row],[Key]],'3. Unique Results'!A:X,12,FALSE)</f>
        <v>44887.363807870373</v>
      </c>
      <c r="M76" s="17">
        <f>VLOOKUP(Tabelle4[[#This Row],[Key]],'3. Unique Results'!A:X,13,FALSE)</f>
        <v>44887.363807870373</v>
      </c>
      <c r="N76" s="17">
        <f>VLOOKUP(Tabelle4[[#This Row],[Key]],'3. Unique Results'!A:X,14,FALSE)</f>
        <v>0</v>
      </c>
      <c r="O76" t="str">
        <f>VLOOKUP(Tabelle4[[#This Row],[Key]],'3. Unique Results'!A:X,15,FALSE)</f>
        <v>148-149</v>
      </c>
      <c r="P76" t="str">
        <f>VLOOKUP(Tabelle4[[#This Row],[Key]],'3. Unique Results'!A:X,16,FALSE)</f>
        <v/>
      </c>
      <c r="Q76" t="str">
        <f>VLOOKUP(Tabelle4[[#This Row],[Key]],'3. Unique Results'!A:X,17,FALSE)</f>
        <v/>
      </c>
      <c r="R76" t="str">
        <f>VLOOKUP(Tabelle4[[#This Row],[Key]],'3. Unique Results'!A:X,18,FALSE)</f>
        <v/>
      </c>
      <c r="S76" t="str">
        <f>VLOOKUP(Tabelle4[[#This Row],[Key]],'3. Unique Results'!A:X,19,FALSE)</f>
        <v/>
      </c>
      <c r="T76" t="str">
        <f>VLOOKUP(Tabelle4[[#This Row],[Key]],'3. Unique Results'!A:X,20,FALSE)</f>
        <v/>
      </c>
      <c r="U76" t="str">
        <f>VLOOKUP(Tabelle4[[#This Row],[Key]],'3. Unique Results'!A:X,21,FALSE)</f>
        <v/>
      </c>
      <c r="V76" t="str">
        <f>VLOOKUP(Tabelle4[[#This Row],[Key]],'3. Unique Results'!A:X,22,FALSE)</f>
        <v/>
      </c>
      <c r="W76" t="str">
        <f>VLOOKUP(Tabelle4[[#This Row],[Key]],'3. Unique Results'!A:X,23,FALSE)</f>
        <v/>
      </c>
    </row>
    <row r="77" spans="1:23">
      <c r="A77" s="14" t="s">
        <v>5860</v>
      </c>
      <c r="B77" t="str">
        <f>VLOOKUP(Tabelle4[[#This Row],[Key]],'3. Unique Results'!A:X,2,FALSE)</f>
        <v>conferencePaper</v>
      </c>
      <c r="C77">
        <f>VLOOKUP(Tabelle4[[#This Row],[Key]],'3. Unique Results'!A:X,3,FALSE)</f>
        <v>2022</v>
      </c>
      <c r="D77" t="str">
        <f>VLOOKUP(Tabelle4[[#This Row],[Key]],'3. Unique Results'!A:X,4,FALSE)</f>
        <v>López, José Antonio Hernández; Izquierdo, Javier Luis Cánovas; Cuadrado, Jesús Sánchez</v>
      </c>
      <c r="E77" t="str">
        <f>VLOOKUP(Tabelle4[[#This Row],[Key]],'3. Unique Results'!A:X,5,FALSE)</f>
        <v>Using the ModelSet Dataset to Support Machine Learning in Model-Driven Engineering</v>
      </c>
      <c r="F77" t="str">
        <f>VLOOKUP(Tabelle4[[#This Row],[Key]],'3. Unique Results'!A:X,6,FALSE)</f>
        <v>Proceedings of the 25th International Conference on Model Driven Engineering Languages and Systems: Companion Proceedings</v>
      </c>
      <c r="G77" t="str">
        <f>VLOOKUP(Tabelle4[[#This Row],[Key]],'3. Unique Results'!A:X,7,FALSE)</f>
        <v>978-1-4503-9467-3</v>
      </c>
      <c r="H77" t="str">
        <f>VLOOKUP(Tabelle4[[#This Row],[Key]],'3. Unique Results'!A:X,8,FALSE)</f>
        <v/>
      </c>
      <c r="I77" t="str">
        <f>VLOOKUP(Tabelle4[[#This Row],[Key]],'3. Unique Results'!A:X,9,FALSE)</f>
        <v>10.1145/3550356.3559096</v>
      </c>
      <c r="J77" t="str">
        <f>VLOOKUP(Tabelle4[[#This Row],[Key]],'3. Unique Results'!A:X,10,FALSE)</f>
        <v>https://doi.org/10.1145/3550356.3559096</v>
      </c>
      <c r="K77" t="str">
        <f>VLOOKUP(Tabelle4[[#This Row],[Key]],'3. Unique Results'!A:X,11,FALSE)</f>
        <v>2022</v>
      </c>
      <c r="L77">
        <f>VLOOKUP(Tabelle4[[#This Row],[Key]],'3. Unique Results'!A:X,12,FALSE)</f>
        <v>44887.363807870373</v>
      </c>
      <c r="M77" s="17">
        <f>VLOOKUP(Tabelle4[[#This Row],[Key]],'3. Unique Results'!A:X,13,FALSE)</f>
        <v>44887.363807870373</v>
      </c>
      <c r="N77" s="17">
        <f>VLOOKUP(Tabelle4[[#This Row],[Key]],'3. Unique Results'!A:X,14,FALSE)</f>
        <v>0</v>
      </c>
      <c r="O77" t="str">
        <f>VLOOKUP(Tabelle4[[#This Row],[Key]],'3. Unique Results'!A:X,15,FALSE)</f>
        <v>66–70</v>
      </c>
      <c r="P77" t="str">
        <f>VLOOKUP(Tabelle4[[#This Row],[Key]],'3. Unique Results'!A:X,16,FALSE)</f>
        <v/>
      </c>
      <c r="Q77" t="str">
        <f>VLOOKUP(Tabelle4[[#This Row],[Key]],'3. Unique Results'!A:X,17,FALSE)</f>
        <v/>
      </c>
      <c r="R77" t="str">
        <f>VLOOKUP(Tabelle4[[#This Row],[Key]],'3. Unique Results'!A:X,18,FALSE)</f>
        <v/>
      </c>
      <c r="S77" t="str">
        <f>VLOOKUP(Tabelle4[[#This Row],[Key]],'3. Unique Results'!A:X,19,FALSE)</f>
        <v/>
      </c>
      <c r="T77" t="str">
        <f>VLOOKUP(Tabelle4[[#This Row],[Key]],'3. Unique Results'!A:X,20,FALSE)</f>
        <v>Association for Computing Machinery</v>
      </c>
      <c r="U77" t="str">
        <f>VLOOKUP(Tabelle4[[#This Row],[Key]],'3. Unique Results'!A:X,21,FALSE)</f>
        <v>New York, NY, USA</v>
      </c>
      <c r="V77" t="str">
        <f>VLOOKUP(Tabelle4[[#This Row],[Key]],'3. Unique Results'!A:X,22,FALSE)</f>
        <v/>
      </c>
      <c r="W77" t="str">
        <f>VLOOKUP(Tabelle4[[#This Row],[Key]],'3. Unique Results'!A:X,23,FALSE)</f>
        <v/>
      </c>
    </row>
    <row r="78" spans="1:23">
      <c r="A78" s="14" t="s">
        <v>5861</v>
      </c>
      <c r="B78" t="str">
        <f>VLOOKUP(Tabelle4[[#This Row],[Key]],'3. Unique Results'!A:X,2,FALSE)</f>
        <v>conferencePaper</v>
      </c>
      <c r="C78">
        <f>VLOOKUP(Tabelle4[[#This Row],[Key]],'3. Unique Results'!A:X,3,FALSE)</f>
        <v>2009</v>
      </c>
      <c r="D78" t="str">
        <f>VLOOKUP(Tabelle4[[#This Row],[Key]],'3. Unique Results'!A:X,4,FALSE)</f>
        <v>Clemente, Pedro J.; Conejero, José M.; Hernández, Juan; Sánchez, Lara</v>
      </c>
      <c r="E78" t="str">
        <f>VLOOKUP(Tabelle4[[#This Row],[Key]],'3. Unique Results'!A:X,5,FALSE)</f>
        <v>HAAIS-DSL: DSL to Develop Home Automation and Ambient Intelligence Systems</v>
      </c>
      <c r="F78" t="str">
        <f>VLOOKUP(Tabelle4[[#This Row],[Key]],'3. Unique Results'!A:X,6,FALSE)</f>
        <v>Proceedings of the Second Workshop on Isolation and Integration in Embedded Systems</v>
      </c>
      <c r="G78" t="str">
        <f>VLOOKUP(Tabelle4[[#This Row],[Key]],'3. Unique Results'!A:X,7,FALSE)</f>
        <v>978-1-60558-464-5</v>
      </c>
      <c r="H78" t="str">
        <f>VLOOKUP(Tabelle4[[#This Row],[Key]],'3. Unique Results'!A:X,8,FALSE)</f>
        <v/>
      </c>
      <c r="I78" t="str">
        <f>VLOOKUP(Tabelle4[[#This Row],[Key]],'3. Unique Results'!A:X,9,FALSE)</f>
        <v>10.1145/1519130.1519133</v>
      </c>
      <c r="J78" t="str">
        <f>VLOOKUP(Tabelle4[[#This Row],[Key]],'3. Unique Results'!A:X,10,FALSE)</f>
        <v>https://doi.org/10.1145/1519130.1519133</v>
      </c>
      <c r="K78" t="str">
        <f>VLOOKUP(Tabelle4[[#This Row],[Key]],'3. Unique Results'!A:X,11,FALSE)</f>
        <v>2009</v>
      </c>
      <c r="L78">
        <f>VLOOKUP(Tabelle4[[#This Row],[Key]],'3. Unique Results'!A:X,12,FALSE)</f>
        <v>44887.363807870373</v>
      </c>
      <c r="M78" s="17">
        <f>VLOOKUP(Tabelle4[[#This Row],[Key]],'3. Unique Results'!A:X,13,FALSE)</f>
        <v>44887.363807870373</v>
      </c>
      <c r="N78" s="17">
        <f>VLOOKUP(Tabelle4[[#This Row],[Key]],'3. Unique Results'!A:X,14,FALSE)</f>
        <v>0</v>
      </c>
      <c r="O78" t="str">
        <f>VLOOKUP(Tabelle4[[#This Row],[Key]],'3. Unique Results'!A:X,15,FALSE)</f>
        <v>13–18</v>
      </c>
      <c r="P78" t="str">
        <f>VLOOKUP(Tabelle4[[#This Row],[Key]],'3. Unique Results'!A:X,16,FALSE)</f>
        <v/>
      </c>
      <c r="Q78" t="str">
        <f>VLOOKUP(Tabelle4[[#This Row],[Key]],'3. Unique Results'!A:X,17,FALSE)</f>
        <v/>
      </c>
      <c r="R78" t="str">
        <f>VLOOKUP(Tabelle4[[#This Row],[Key]],'3. Unique Results'!A:X,18,FALSE)</f>
        <v/>
      </c>
      <c r="S78" t="str">
        <f>VLOOKUP(Tabelle4[[#This Row],[Key]],'3. Unique Results'!A:X,19,FALSE)</f>
        <v/>
      </c>
      <c r="T78" t="str">
        <f>VLOOKUP(Tabelle4[[#This Row],[Key]],'3. Unique Results'!A:X,20,FALSE)</f>
        <v>Association for Computing Machinery</v>
      </c>
      <c r="U78" t="str">
        <f>VLOOKUP(Tabelle4[[#This Row],[Key]],'3. Unique Results'!A:X,21,FALSE)</f>
        <v>New York, NY, USA</v>
      </c>
      <c r="V78" t="str">
        <f>VLOOKUP(Tabelle4[[#This Row],[Key]],'3. Unique Results'!A:X,22,FALSE)</f>
        <v/>
      </c>
      <c r="W78" t="str">
        <f>VLOOKUP(Tabelle4[[#This Row],[Key]],'3. Unique Results'!A:X,23,FALSE)</f>
        <v/>
      </c>
    </row>
    <row r="79" spans="1:23">
      <c r="A79" s="14" t="s">
        <v>4464</v>
      </c>
      <c r="B79" t="str">
        <f>VLOOKUP(Tabelle4[[#This Row],[Key]],'3. Unique Results'!A:X,2,FALSE)</f>
        <v>conferencePaper</v>
      </c>
      <c r="C79">
        <f>VLOOKUP(Tabelle4[[#This Row],[Key]],'3. Unique Results'!A:X,3,FALSE)</f>
        <v>2020</v>
      </c>
      <c r="D79" t="str">
        <f>VLOOKUP(Tabelle4[[#This Row],[Key]],'3. Unique Results'!A:X,4,FALSE)</f>
        <v>Moin, Armin; Rössler, Stephan; Sayih, Marouane; Günnemann, Stephan</v>
      </c>
      <c r="E79" t="str">
        <f>VLOOKUP(Tabelle4[[#This Row],[Key]],'3. Unique Results'!A:X,5,FALSE)</f>
        <v>From Things' Modeling Language (ThingML) to Things' Machine Learning (ThingML2)</v>
      </c>
      <c r="F79" t="str">
        <f>VLOOKUP(Tabelle4[[#This Row],[Key]],'3. Unique Results'!A:X,6,FALSE)</f>
        <v>Proceedings of the 23rd ACM/IEEE International Conference on Model Driven Engineering Languages and Systems: Companion Proceedings</v>
      </c>
      <c r="G79" t="str">
        <f>VLOOKUP(Tabelle4[[#This Row],[Key]],'3. Unique Results'!A:X,7,FALSE)</f>
        <v>978-1-4503-8135-2</v>
      </c>
      <c r="H79" t="str">
        <f>VLOOKUP(Tabelle4[[#This Row],[Key]],'3. Unique Results'!A:X,8,FALSE)</f>
        <v/>
      </c>
      <c r="I79" t="str">
        <f>VLOOKUP(Tabelle4[[#This Row],[Key]],'3. Unique Results'!A:X,9,FALSE)</f>
        <v>10.1145/3417990.3420057</v>
      </c>
      <c r="J79" t="str">
        <f>VLOOKUP(Tabelle4[[#This Row],[Key]],'3. Unique Results'!A:X,10,FALSE)</f>
        <v>https://doi.org/10.1145/3417990.3420057</v>
      </c>
      <c r="K79" t="str">
        <f>VLOOKUP(Tabelle4[[#This Row],[Key]],'3. Unique Results'!A:X,11,FALSE)</f>
        <v>2020</v>
      </c>
      <c r="L79">
        <f>VLOOKUP(Tabelle4[[#This Row],[Key]],'3. Unique Results'!A:X,12,FALSE)</f>
        <v>44887.363807870373</v>
      </c>
      <c r="M79" s="17">
        <f>VLOOKUP(Tabelle4[[#This Row],[Key]],'3. Unique Results'!A:X,13,FALSE)</f>
        <v>44887.363807870373</v>
      </c>
      <c r="N79" s="17">
        <f>VLOOKUP(Tabelle4[[#This Row],[Key]],'3. Unique Results'!A:X,14,FALSE)</f>
        <v>0</v>
      </c>
      <c r="O79" t="str">
        <f>VLOOKUP(Tabelle4[[#This Row],[Key]],'3. Unique Results'!A:X,15,FALSE)</f>
        <v/>
      </c>
      <c r="P79" t="str">
        <f>VLOOKUP(Tabelle4[[#This Row],[Key]],'3. Unique Results'!A:X,16,FALSE)</f>
        <v/>
      </c>
      <c r="Q79" t="str">
        <f>VLOOKUP(Tabelle4[[#This Row],[Key]],'3. Unique Results'!A:X,17,FALSE)</f>
        <v/>
      </c>
      <c r="R79" t="str">
        <f>VLOOKUP(Tabelle4[[#This Row],[Key]],'3. Unique Results'!A:X,18,FALSE)</f>
        <v/>
      </c>
      <c r="S79" t="str">
        <f>VLOOKUP(Tabelle4[[#This Row],[Key]],'3. Unique Results'!A:X,19,FALSE)</f>
        <v/>
      </c>
      <c r="T79" t="str">
        <f>VLOOKUP(Tabelle4[[#This Row],[Key]],'3. Unique Results'!A:X,20,FALSE)</f>
        <v>Association for Computing Machinery</v>
      </c>
      <c r="U79" t="str">
        <f>VLOOKUP(Tabelle4[[#This Row],[Key]],'3. Unique Results'!A:X,21,FALSE)</f>
        <v>New York, NY, USA</v>
      </c>
      <c r="V79" t="str">
        <f>VLOOKUP(Tabelle4[[#This Row],[Key]],'3. Unique Results'!A:X,22,FALSE)</f>
        <v/>
      </c>
      <c r="W79" t="str">
        <f>VLOOKUP(Tabelle4[[#This Row],[Key]],'3. Unique Results'!A:X,23,FALSE)</f>
        <v/>
      </c>
    </row>
    <row r="80" spans="1:23">
      <c r="A80" s="15" t="s">
        <v>4465</v>
      </c>
      <c r="B80" t="str">
        <f>VLOOKUP(Tabelle4[[#This Row],[Key]],'3. Unique Results'!A:X,2,FALSE)</f>
        <v>conferencePaper</v>
      </c>
      <c r="C80">
        <f>VLOOKUP(Tabelle4[[#This Row],[Key]],'3. Unique Results'!A:X,3,FALSE)</f>
        <v>2017</v>
      </c>
      <c r="D80" t="str">
        <f>VLOOKUP(Tabelle4[[#This Row],[Key]],'3. Unique Results'!A:X,4,FALSE)</f>
        <v>Hartmann, Thomas; Moawad, Assaad; Fouquet, Francois; Traon, Yves Le</v>
      </c>
      <c r="E80" t="str">
        <f>VLOOKUP(Tabelle4[[#This Row],[Key]],'3. Unique Results'!A:X,5,FALSE)</f>
        <v>The next Evolution of MDE: A Seamless Integration of Machine Learning into Domain Modeling</v>
      </c>
      <c r="F80" t="str">
        <f>VLOOKUP(Tabelle4[[#This Row],[Key]],'3. Unique Results'!A:X,6,FALSE)</f>
        <v>Proceedings of the ACM/IEEE 20th International Conference on Model Driven Engineering Languages and Systems</v>
      </c>
      <c r="G80" t="str">
        <f>VLOOKUP(Tabelle4[[#This Row],[Key]],'3. Unique Results'!A:X,7,FALSE)</f>
        <v>978-1-5386-3492-9</v>
      </c>
      <c r="H80" t="str">
        <f>VLOOKUP(Tabelle4[[#This Row],[Key]],'3. Unique Results'!A:X,8,FALSE)</f>
        <v/>
      </c>
      <c r="I80" t="str">
        <f>VLOOKUP(Tabelle4[[#This Row],[Key]],'3. Unique Results'!A:X,9,FALSE)</f>
        <v>10.1109/MODELS.2017.32</v>
      </c>
      <c r="J80" t="str">
        <f>VLOOKUP(Tabelle4[[#This Row],[Key]],'3. Unique Results'!A:X,10,FALSE)</f>
        <v>https://doi.org/10.1109/MODELS.2017.32</v>
      </c>
      <c r="K80" t="str">
        <f>VLOOKUP(Tabelle4[[#This Row],[Key]],'3. Unique Results'!A:X,11,FALSE)</f>
        <v>2017</v>
      </c>
      <c r="L80">
        <f>VLOOKUP(Tabelle4[[#This Row],[Key]],'3. Unique Results'!A:X,12,FALSE)</f>
        <v>44887.363807870373</v>
      </c>
      <c r="M80" s="17">
        <f>VLOOKUP(Tabelle4[[#This Row],[Key]],'3. Unique Results'!A:X,13,FALSE)</f>
        <v>44887.491666666669</v>
      </c>
      <c r="N80" s="17">
        <f>VLOOKUP(Tabelle4[[#This Row],[Key]],'3. Unique Results'!A:X,14,FALSE)</f>
        <v>0</v>
      </c>
      <c r="O80" t="str">
        <f>VLOOKUP(Tabelle4[[#This Row],[Key]],'3. Unique Results'!A:X,15,FALSE)</f>
        <v>180</v>
      </c>
      <c r="P80" t="str">
        <f>VLOOKUP(Tabelle4[[#This Row],[Key]],'3. Unique Results'!A:X,16,FALSE)</f>
        <v/>
      </c>
      <c r="Q80" t="str">
        <f>VLOOKUP(Tabelle4[[#This Row],[Key]],'3. Unique Results'!A:X,17,FALSE)</f>
        <v/>
      </c>
      <c r="R80" t="str">
        <f>VLOOKUP(Tabelle4[[#This Row],[Key]],'3. Unique Results'!A:X,18,FALSE)</f>
        <v/>
      </c>
      <c r="S80" t="str">
        <f>VLOOKUP(Tabelle4[[#This Row],[Key]],'3. Unique Results'!A:X,19,FALSE)</f>
        <v/>
      </c>
      <c r="T80" t="str">
        <f>VLOOKUP(Tabelle4[[#This Row],[Key]],'3. Unique Results'!A:X,20,FALSE)</f>
        <v>IEEE Press</v>
      </c>
      <c r="U80" t="str">
        <f>VLOOKUP(Tabelle4[[#This Row],[Key]],'3. Unique Results'!A:X,21,FALSE)</f>
        <v/>
      </c>
      <c r="V80" t="str">
        <f>VLOOKUP(Tabelle4[[#This Row],[Key]],'3. Unique Results'!A:X,22,FALSE)</f>
        <v/>
      </c>
      <c r="W80" t="str">
        <f>VLOOKUP(Tabelle4[[#This Row],[Key]],'3. Unique Results'!A:X,23,FALSE)</f>
        <v/>
      </c>
    </row>
    <row r="81" spans="1:23">
      <c r="A81" s="14" t="s">
        <v>5862</v>
      </c>
      <c r="B81" t="str">
        <f>VLOOKUP(Tabelle4[[#This Row],[Key]],'3. Unique Results'!A:X,2,FALSE)</f>
        <v>conferencePaper</v>
      </c>
      <c r="C81">
        <f>VLOOKUP(Tabelle4[[#This Row],[Key]],'3. Unique Results'!A:X,3,FALSE)</f>
        <v>2022</v>
      </c>
      <c r="D81" t="str">
        <f>VLOOKUP(Tabelle4[[#This Row],[Key]],'3. Unique Results'!A:X,4,FALSE)</f>
        <v>Alves, Lucas; Pereira, José Davi; Aragão, Natália; Chagas, Matheus; Maia, Paulo Henrique</v>
      </c>
      <c r="E81" t="str">
        <f>VLOOKUP(Tabelle4[[#This Row],[Key]],'3. Unique Results'!A:X,5,FALSE)</f>
        <v>DRESS-ML: A Domain-Specific Language for Modelling Exceptional Scenarios and Self-Adaptive Behaviours for Drone-Based Applications</v>
      </c>
      <c r="F81" t="str">
        <f>VLOOKUP(Tabelle4[[#This Row],[Key]],'3. Unique Results'!A:X,6,FALSE)</f>
        <v>Proceedings of the 2022 ACM/IEEE 44th International Conference on Software Engineering: Software Engineering in Society</v>
      </c>
      <c r="G81" t="str">
        <f>VLOOKUP(Tabelle4[[#This Row],[Key]],'3. Unique Results'!A:X,7,FALSE)</f>
        <v>978-1-4503-9227-3</v>
      </c>
      <c r="H81" t="str">
        <f>VLOOKUP(Tabelle4[[#This Row],[Key]],'3. Unique Results'!A:X,8,FALSE)</f>
        <v/>
      </c>
      <c r="I81" t="str">
        <f>VLOOKUP(Tabelle4[[#This Row],[Key]],'3. Unique Results'!A:X,9,FALSE)</f>
        <v>10.1145/3510458.3513012</v>
      </c>
      <c r="J81" t="str">
        <f>VLOOKUP(Tabelle4[[#This Row],[Key]],'3. Unique Results'!A:X,10,FALSE)</f>
        <v>https://doi.org/10.1145/3510458.3513012</v>
      </c>
      <c r="K81" t="str">
        <f>VLOOKUP(Tabelle4[[#This Row],[Key]],'3. Unique Results'!A:X,11,FALSE)</f>
        <v>2022</v>
      </c>
      <c r="L81">
        <f>VLOOKUP(Tabelle4[[#This Row],[Key]],'3. Unique Results'!A:X,12,FALSE)</f>
        <v>44887.363807870373</v>
      </c>
      <c r="M81" s="17">
        <f>VLOOKUP(Tabelle4[[#This Row],[Key]],'3. Unique Results'!A:X,13,FALSE)</f>
        <v>44887.363807870373</v>
      </c>
      <c r="N81" s="17">
        <f>VLOOKUP(Tabelle4[[#This Row],[Key]],'3. Unique Results'!A:X,14,FALSE)</f>
        <v>0</v>
      </c>
      <c r="O81" t="str">
        <f>VLOOKUP(Tabelle4[[#This Row],[Key]],'3. Unique Results'!A:X,15,FALSE)</f>
        <v>56–66</v>
      </c>
      <c r="P81" t="str">
        <f>VLOOKUP(Tabelle4[[#This Row],[Key]],'3. Unique Results'!A:X,16,FALSE)</f>
        <v/>
      </c>
      <c r="Q81" t="str">
        <f>VLOOKUP(Tabelle4[[#This Row],[Key]],'3. Unique Results'!A:X,17,FALSE)</f>
        <v/>
      </c>
      <c r="R81" t="str">
        <f>VLOOKUP(Tabelle4[[#This Row],[Key]],'3. Unique Results'!A:X,18,FALSE)</f>
        <v/>
      </c>
      <c r="S81" t="str">
        <f>VLOOKUP(Tabelle4[[#This Row],[Key]],'3. Unique Results'!A:X,19,FALSE)</f>
        <v/>
      </c>
      <c r="T81" t="str">
        <f>VLOOKUP(Tabelle4[[#This Row],[Key]],'3. Unique Results'!A:X,20,FALSE)</f>
        <v>Association for Computing Machinery</v>
      </c>
      <c r="U81" t="str">
        <f>VLOOKUP(Tabelle4[[#This Row],[Key]],'3. Unique Results'!A:X,21,FALSE)</f>
        <v>New York, NY, USA</v>
      </c>
      <c r="V81" t="str">
        <f>VLOOKUP(Tabelle4[[#This Row],[Key]],'3. Unique Results'!A:X,22,FALSE)</f>
        <v/>
      </c>
      <c r="W81" t="str">
        <f>VLOOKUP(Tabelle4[[#This Row],[Key]],'3. Unique Results'!A:X,23,FALSE)</f>
        <v/>
      </c>
    </row>
    <row r="82" spans="1:23">
      <c r="A82" s="15" t="s">
        <v>5863</v>
      </c>
      <c r="B82" t="str">
        <f>VLOOKUP(Tabelle4[[#This Row],[Key]],'3. Unique Results'!A:X,2,FALSE)</f>
        <v>journalArticle</v>
      </c>
      <c r="C82">
        <f>VLOOKUP(Tabelle4[[#This Row],[Key]],'3. Unique Results'!A:X,3,FALSE)</f>
        <v>2016</v>
      </c>
      <c r="D82" t="str">
        <f>VLOOKUP(Tabelle4[[#This Row],[Key]],'3. Unique Results'!A:X,4,FALSE)</f>
        <v>Boehm, Matthias; Dusenberry, Michael W.; Eriksson, Deron; Evfimievski, Alexandre V.; Manshadi, Faraz Makari; Pansare, Niketan; Reinwald, Berthold; Reiss, Frederick R.; Sen, Prithviraj; Surve, Arvind C.; Tatikonda, Shirish</v>
      </c>
      <c r="E82" t="str">
        <f>VLOOKUP(Tabelle4[[#This Row],[Key]],'3. Unique Results'!A:X,5,FALSE)</f>
        <v>SystemML: Declarative Machine Learning on Spark</v>
      </c>
      <c r="F82" t="str">
        <f>VLOOKUP(Tabelle4[[#This Row],[Key]],'3. Unique Results'!A:X,6,FALSE)</f>
        <v>Proc. VLDB Endow.</v>
      </c>
      <c r="G82" t="str">
        <f>VLOOKUP(Tabelle4[[#This Row],[Key]],'3. Unique Results'!A:X,7,FALSE)</f>
        <v/>
      </c>
      <c r="H82" t="str">
        <f>VLOOKUP(Tabelle4[[#This Row],[Key]],'3. Unique Results'!A:X,8,FALSE)</f>
        <v>2150-8097</v>
      </c>
      <c r="I82" t="str">
        <f>VLOOKUP(Tabelle4[[#This Row],[Key]],'3. Unique Results'!A:X,9,FALSE)</f>
        <v>10.14778/3007263.3007279</v>
      </c>
      <c r="J82" t="str">
        <f>VLOOKUP(Tabelle4[[#This Row],[Key]],'3. Unique Results'!A:X,10,FALSE)</f>
        <v>https://doi.org/10.14778/3007263.3007279</v>
      </c>
      <c r="K82" t="str">
        <f>VLOOKUP(Tabelle4[[#This Row],[Key]],'3. Unique Results'!A:X,11,FALSE)</f>
        <v>2016-09</v>
      </c>
      <c r="L82">
        <f>VLOOKUP(Tabelle4[[#This Row],[Key]],'3. Unique Results'!A:X,12,FALSE)</f>
        <v>44887.363807870373</v>
      </c>
      <c r="M82" s="17">
        <f>VLOOKUP(Tabelle4[[#This Row],[Key]],'3. Unique Results'!A:X,13,FALSE)</f>
        <v>44887.363807870373</v>
      </c>
      <c r="N82" s="17">
        <f>VLOOKUP(Tabelle4[[#This Row],[Key]],'3. Unique Results'!A:X,14,FALSE)</f>
        <v>0</v>
      </c>
      <c r="O82" t="str">
        <f>VLOOKUP(Tabelle4[[#This Row],[Key]],'3. Unique Results'!A:X,15,FALSE)</f>
        <v>1425–1436</v>
      </c>
      <c r="P82" t="str">
        <f>VLOOKUP(Tabelle4[[#This Row],[Key]],'3. Unique Results'!A:X,16,FALSE)</f>
        <v>13</v>
      </c>
      <c r="Q82" t="str">
        <f>VLOOKUP(Tabelle4[[#This Row],[Key]],'3. Unique Results'!A:X,17,FALSE)</f>
        <v>9</v>
      </c>
      <c r="R82" t="str">
        <f>VLOOKUP(Tabelle4[[#This Row],[Key]],'3. Unique Results'!A:X,18,FALSE)</f>
        <v/>
      </c>
      <c r="S82" t="str">
        <f>VLOOKUP(Tabelle4[[#This Row],[Key]],'3. Unique Results'!A:X,19,FALSE)</f>
        <v/>
      </c>
      <c r="T82" t="str">
        <f>VLOOKUP(Tabelle4[[#This Row],[Key]],'3. Unique Results'!A:X,20,FALSE)</f>
        <v/>
      </c>
      <c r="U82" t="str">
        <f>VLOOKUP(Tabelle4[[#This Row],[Key]],'3. Unique Results'!A:X,21,FALSE)</f>
        <v/>
      </c>
      <c r="V82" t="str">
        <f>VLOOKUP(Tabelle4[[#This Row],[Key]],'3. Unique Results'!A:X,22,FALSE)</f>
        <v/>
      </c>
      <c r="W82" t="str">
        <f>VLOOKUP(Tabelle4[[#This Row],[Key]],'3. Unique Results'!A:X,23,FALSE)</f>
        <v/>
      </c>
    </row>
    <row r="83" spans="1:23">
      <c r="A83" s="15" t="s">
        <v>4466</v>
      </c>
      <c r="B83" t="str">
        <f>VLOOKUP(Tabelle4[[#This Row],[Key]],'3. Unique Results'!A:X,2,FALSE)</f>
        <v>journalArticle</v>
      </c>
      <c r="C83">
        <f>VLOOKUP(Tabelle4[[#This Row],[Key]],'3. Unique Results'!A:X,3,FALSE)</f>
        <v>2022</v>
      </c>
      <c r="D83" t="str">
        <f>VLOOKUP(Tabelle4[[#This Row],[Key]],'3. Unique Results'!A:X,4,FALSE)</f>
        <v>Kirchhof, Jörg Christian; Kusmenko, Evgeny; Ritz, Jonas; Rumpe, Bernhard; Moin, Armin; Badii, Atta; Günnemann, Stephan; Challenger, Moharram</v>
      </c>
      <c r="E83" t="str">
        <f>VLOOKUP(Tabelle4[[#This Row],[Key]],'3. Unique Results'!A:X,5,FALSE)</f>
        <v>MDE for Machine Learning-Enabled Software Systems: A Case Study and Comparison of MontiAnna &amp;amp; ML-Quadrat</v>
      </c>
      <c r="F83" t="str">
        <f>VLOOKUP(Tabelle4[[#This Row],[Key]],'3. Unique Results'!A:X,6,FALSE)</f>
        <v>Proceedings of the 25th International Conference on Model Driven Engineering Languages and Systems: Companion Proceedings</v>
      </c>
      <c r="G83" t="str">
        <f>VLOOKUP(Tabelle4[[#This Row],[Key]],'3. Unique Results'!A:X,7,FALSE)</f>
        <v/>
      </c>
      <c r="H83" t="str">
        <f>VLOOKUP(Tabelle4[[#This Row],[Key]],'3. Unique Results'!A:X,8,FALSE)</f>
        <v/>
      </c>
      <c r="I83" t="str">
        <f>VLOOKUP(Tabelle4[[#This Row],[Key]],'3. Unique Results'!A:X,9,FALSE)</f>
        <v>10.1145/3550356.3561576</v>
      </c>
      <c r="J83" t="str">
        <f>VLOOKUP(Tabelle4[[#This Row],[Key]],'3. Unique Results'!A:X,10,FALSE)</f>
        <v>https://doi.org/10.1145/3550356.3561576</v>
      </c>
      <c r="K83" t="str">
        <f>VLOOKUP(Tabelle4[[#This Row],[Key]],'3. Unique Results'!A:X,11,FALSE)</f>
        <v>2022</v>
      </c>
      <c r="L83">
        <f>VLOOKUP(Tabelle4[[#This Row],[Key]],'3. Unique Results'!A:X,12,FALSE)</f>
        <v>44887.363807870373</v>
      </c>
      <c r="M83" s="17">
        <f>VLOOKUP(Tabelle4[[#This Row],[Key]],'3. Unique Results'!A:X,13,FALSE)</f>
        <v>44887.363807870373</v>
      </c>
      <c r="N83" s="17">
        <f>VLOOKUP(Tabelle4[[#This Row],[Key]],'3. Unique Results'!A:X,14,FALSE)</f>
        <v>0</v>
      </c>
      <c r="O83" t="str">
        <f>VLOOKUP(Tabelle4[[#This Row],[Key]],'3. Unique Results'!A:X,15,FALSE)</f>
        <v>380–387</v>
      </c>
      <c r="P83" t="str">
        <f>VLOOKUP(Tabelle4[[#This Row],[Key]],'3. Unique Results'!A:X,16,FALSE)</f>
        <v/>
      </c>
      <c r="Q83" t="str">
        <f>VLOOKUP(Tabelle4[[#This Row],[Key]],'3. Unique Results'!A:X,17,FALSE)</f>
        <v/>
      </c>
      <c r="R83" t="str">
        <f>VLOOKUP(Tabelle4[[#This Row],[Key]],'3. Unique Results'!A:X,18,FALSE)</f>
        <v/>
      </c>
      <c r="S83" t="str">
        <f>VLOOKUP(Tabelle4[[#This Row],[Key]],'3. Unique Results'!A:X,19,FALSE)</f>
        <v/>
      </c>
      <c r="T83" t="str">
        <f>VLOOKUP(Tabelle4[[#This Row],[Key]],'3. Unique Results'!A:X,20,FALSE)</f>
        <v/>
      </c>
      <c r="U83" t="str">
        <f>VLOOKUP(Tabelle4[[#This Row],[Key]],'3. Unique Results'!A:X,21,FALSE)</f>
        <v/>
      </c>
      <c r="V83" t="str">
        <f>VLOOKUP(Tabelle4[[#This Row],[Key]],'3. Unique Results'!A:X,22,FALSE)</f>
        <v/>
      </c>
      <c r="W83" t="str">
        <f>VLOOKUP(Tabelle4[[#This Row],[Key]],'3. Unique Results'!A:X,23,FALSE)</f>
        <v/>
      </c>
    </row>
    <row r="84" spans="1:23">
      <c r="A84" s="14" t="s">
        <v>5864</v>
      </c>
      <c r="B84" t="str">
        <f>VLOOKUP(Tabelle4[[#This Row],[Key]],'3. Unique Results'!A:X,2,FALSE)</f>
        <v>conferencePaper</v>
      </c>
      <c r="C84">
        <f>VLOOKUP(Tabelle4[[#This Row],[Key]],'3. Unique Results'!A:X,3,FALSE)</f>
        <v>2022</v>
      </c>
      <c r="D84" t="str">
        <f>VLOOKUP(Tabelle4[[#This Row],[Key]],'3. Unique Results'!A:X,4,FALSE)</f>
        <v>Bergelin, Johan; Strandberg, Per Erik</v>
      </c>
      <c r="E84" t="str">
        <f>VLOOKUP(Tabelle4[[#This Row],[Key]],'3. Unique Results'!A:X,5,FALSE)</f>
        <v>Industrial Requirements for Supporting AI-Enhanced Model-Driven Engineering</v>
      </c>
      <c r="F84" t="str">
        <f>VLOOKUP(Tabelle4[[#This Row],[Key]],'3. Unique Results'!A:X,6,FALSE)</f>
        <v>Proceedings of the 25th International Conference on Model Driven Engineering Languages and Systems: Companion Proceedings</v>
      </c>
      <c r="G84" t="str">
        <f>VLOOKUP(Tabelle4[[#This Row],[Key]],'3. Unique Results'!A:X,7,FALSE)</f>
        <v>978-1-4503-9467-3</v>
      </c>
      <c r="H84" t="str">
        <f>VLOOKUP(Tabelle4[[#This Row],[Key]],'3. Unique Results'!A:X,8,FALSE)</f>
        <v/>
      </c>
      <c r="I84" t="str">
        <f>VLOOKUP(Tabelle4[[#This Row],[Key]],'3. Unique Results'!A:X,9,FALSE)</f>
        <v>10.1145/3550356.3561609</v>
      </c>
      <c r="J84" t="str">
        <f>VLOOKUP(Tabelle4[[#This Row],[Key]],'3. Unique Results'!A:X,10,FALSE)</f>
        <v>https://doi.org/10.1145/3550356.3561609</v>
      </c>
      <c r="K84" t="str">
        <f>VLOOKUP(Tabelle4[[#This Row],[Key]],'3. Unique Results'!A:X,11,FALSE)</f>
        <v>2022</v>
      </c>
      <c r="L84">
        <f>VLOOKUP(Tabelle4[[#This Row],[Key]],'3. Unique Results'!A:X,12,FALSE)</f>
        <v>44887.363807870373</v>
      </c>
      <c r="M84" s="17">
        <f>VLOOKUP(Tabelle4[[#This Row],[Key]],'3. Unique Results'!A:X,13,FALSE)</f>
        <v>44887.363807870373</v>
      </c>
      <c r="N84" s="17">
        <f>VLOOKUP(Tabelle4[[#This Row],[Key]],'3. Unique Results'!A:X,14,FALSE)</f>
        <v>0</v>
      </c>
      <c r="O84" t="str">
        <f>VLOOKUP(Tabelle4[[#This Row],[Key]],'3. Unique Results'!A:X,15,FALSE)</f>
        <v>375–379</v>
      </c>
      <c r="P84" t="str">
        <f>VLOOKUP(Tabelle4[[#This Row],[Key]],'3. Unique Results'!A:X,16,FALSE)</f>
        <v/>
      </c>
      <c r="Q84" t="str">
        <f>VLOOKUP(Tabelle4[[#This Row],[Key]],'3. Unique Results'!A:X,17,FALSE)</f>
        <v/>
      </c>
      <c r="R84" t="str">
        <f>VLOOKUP(Tabelle4[[#This Row],[Key]],'3. Unique Results'!A:X,18,FALSE)</f>
        <v/>
      </c>
      <c r="S84" t="str">
        <f>VLOOKUP(Tabelle4[[#This Row],[Key]],'3. Unique Results'!A:X,19,FALSE)</f>
        <v/>
      </c>
      <c r="T84" t="str">
        <f>VLOOKUP(Tabelle4[[#This Row],[Key]],'3. Unique Results'!A:X,20,FALSE)</f>
        <v>Association for Computing Machinery</v>
      </c>
      <c r="U84" t="str">
        <f>VLOOKUP(Tabelle4[[#This Row],[Key]],'3. Unique Results'!A:X,21,FALSE)</f>
        <v>New York, NY, USA</v>
      </c>
      <c r="V84" t="str">
        <f>VLOOKUP(Tabelle4[[#This Row],[Key]],'3. Unique Results'!A:X,22,FALSE)</f>
        <v/>
      </c>
      <c r="W84" t="str">
        <f>VLOOKUP(Tabelle4[[#This Row],[Key]],'3. Unique Results'!A:X,23,FALSE)</f>
        <v/>
      </c>
    </row>
    <row r="85" spans="1:23">
      <c r="A85" s="15" t="s">
        <v>4467</v>
      </c>
      <c r="B85" t="str">
        <f>VLOOKUP(Tabelle4[[#This Row],[Key]],'3. Unique Results'!A:X,2,FALSE)</f>
        <v>conferencePaper</v>
      </c>
      <c r="C85">
        <f>VLOOKUP(Tabelle4[[#This Row],[Key]],'3. Unique Results'!A:X,3,FALSE)</f>
        <v>2021</v>
      </c>
      <c r="D85" t="str">
        <f>VLOOKUP(Tabelle4[[#This Row],[Key]],'3. Unique Results'!A:X,4,FALSE)</f>
        <v>Burgueño, Loli; Burdusel, Alexandru; Gérard, Sébastien; Wimmer, Manuel</v>
      </c>
      <c r="E85" t="str">
        <f>VLOOKUP(Tabelle4[[#This Row],[Key]],'3. Unique Results'!A:X,5,FALSE)</f>
        <v>MDE Intelligence 2019: 1st Workshop on Artificial Intelligence and Model-Driven Engineering</v>
      </c>
      <c r="F85" t="str">
        <f>VLOOKUP(Tabelle4[[#This Row],[Key]],'3. Unique Results'!A:X,6,FALSE)</f>
        <v>Proceedings of the 22nd International Conference on Model Driven Engineering Languages and Systems</v>
      </c>
      <c r="G85" t="str">
        <f>VLOOKUP(Tabelle4[[#This Row],[Key]],'3. Unique Results'!A:X,7,FALSE)</f>
        <v>978-1-72815-125-0</v>
      </c>
      <c r="H85" t="str">
        <f>VLOOKUP(Tabelle4[[#This Row],[Key]],'3. Unique Results'!A:X,8,FALSE)</f>
        <v/>
      </c>
      <c r="I85" t="str">
        <f>VLOOKUP(Tabelle4[[#This Row],[Key]],'3. Unique Results'!A:X,9,FALSE)</f>
        <v>10.1109/MODELS-C.2019.00028</v>
      </c>
      <c r="J85" t="str">
        <f>VLOOKUP(Tabelle4[[#This Row],[Key]],'3. Unique Results'!A:X,10,FALSE)</f>
        <v>https://doi.org/10.1109/MODELS-C.2019.00028</v>
      </c>
      <c r="K85" t="str">
        <f>VLOOKUP(Tabelle4[[#This Row],[Key]],'3. Unique Results'!A:X,11,FALSE)</f>
        <v>2021</v>
      </c>
      <c r="L85">
        <f>VLOOKUP(Tabelle4[[#This Row],[Key]],'3. Unique Results'!A:X,12,FALSE)</f>
        <v>44887.363807870373</v>
      </c>
      <c r="M85" s="17">
        <f>VLOOKUP(Tabelle4[[#This Row],[Key]],'3. Unique Results'!A:X,13,FALSE)</f>
        <v>44887.363807870373</v>
      </c>
      <c r="N85" s="17">
        <f>VLOOKUP(Tabelle4[[#This Row],[Key]],'3. Unique Results'!A:X,14,FALSE)</f>
        <v>0</v>
      </c>
      <c r="O85" t="str">
        <f>VLOOKUP(Tabelle4[[#This Row],[Key]],'3. Unique Results'!A:X,15,FALSE)</f>
        <v>168–169</v>
      </c>
      <c r="P85" t="str">
        <f>VLOOKUP(Tabelle4[[#This Row],[Key]],'3. Unique Results'!A:X,16,FALSE)</f>
        <v/>
      </c>
      <c r="Q85" t="str">
        <f>VLOOKUP(Tabelle4[[#This Row],[Key]],'3. Unique Results'!A:X,17,FALSE)</f>
        <v/>
      </c>
      <c r="R85" t="str">
        <f>VLOOKUP(Tabelle4[[#This Row],[Key]],'3. Unique Results'!A:X,18,FALSE)</f>
        <v/>
      </c>
      <c r="S85" t="str">
        <f>VLOOKUP(Tabelle4[[#This Row],[Key]],'3. Unique Results'!A:X,19,FALSE)</f>
        <v/>
      </c>
      <c r="T85" t="str">
        <f>VLOOKUP(Tabelle4[[#This Row],[Key]],'3. Unique Results'!A:X,20,FALSE)</f>
        <v>IEEE Press</v>
      </c>
      <c r="U85" t="str">
        <f>VLOOKUP(Tabelle4[[#This Row],[Key]],'3. Unique Results'!A:X,21,FALSE)</f>
        <v/>
      </c>
      <c r="V85" t="str">
        <f>VLOOKUP(Tabelle4[[#This Row],[Key]],'3. Unique Results'!A:X,22,FALSE)</f>
        <v/>
      </c>
      <c r="W85" t="str">
        <f>VLOOKUP(Tabelle4[[#This Row],[Key]],'3. Unique Results'!A:X,23,FALSE)</f>
        <v/>
      </c>
    </row>
    <row r="86" spans="1:23">
      <c r="A86" s="14" t="s">
        <v>5865</v>
      </c>
      <c r="B86" t="str">
        <f>VLOOKUP(Tabelle4[[#This Row],[Key]],'3. Unique Results'!A:X,2,FALSE)</f>
        <v>conferencePaper</v>
      </c>
      <c r="C86">
        <f>VLOOKUP(Tabelle4[[#This Row],[Key]],'3. Unique Results'!A:X,3,FALSE)</f>
        <v>2011</v>
      </c>
      <c r="D86" t="str">
        <f>VLOOKUP(Tabelle4[[#This Row],[Key]],'3. Unique Results'!A:X,4,FALSE)</f>
        <v>Mülders, Peter; Gruner, Stefan; Thang, Nguyen Xuan</v>
      </c>
      <c r="E86" t="str">
        <f>VLOOKUP(Tabelle4[[#This Row],[Key]],'3. Unique Results'!A:X,5,FALSE)</f>
        <v>Model-Driven Design plus Artificial Intelligence for Wireless Sensor Networks Software Development</v>
      </c>
      <c r="F86" t="str">
        <f>VLOOKUP(Tabelle4[[#This Row],[Key]],'3. Unique Results'!A:X,6,FALSE)</f>
        <v>Proceedings of the 2nd Workshop on Software Engineering for Sensor Network Applications</v>
      </c>
      <c r="G86" t="str">
        <f>VLOOKUP(Tabelle4[[#This Row],[Key]],'3. Unique Results'!A:X,7,FALSE)</f>
        <v>978-1-4503-0583-9</v>
      </c>
      <c r="H86" t="str">
        <f>VLOOKUP(Tabelle4[[#This Row],[Key]],'3. Unique Results'!A:X,8,FALSE)</f>
        <v/>
      </c>
      <c r="I86" t="str">
        <f>VLOOKUP(Tabelle4[[#This Row],[Key]],'3. Unique Results'!A:X,9,FALSE)</f>
        <v>10.1145/1988051.1988065</v>
      </c>
      <c r="J86" t="str">
        <f>VLOOKUP(Tabelle4[[#This Row],[Key]],'3. Unique Results'!A:X,10,FALSE)</f>
        <v>https://doi.org/10.1145/1988051.1988065</v>
      </c>
      <c r="K86" t="str">
        <f>VLOOKUP(Tabelle4[[#This Row],[Key]],'3. Unique Results'!A:X,11,FALSE)</f>
        <v>2011</v>
      </c>
      <c r="L86">
        <f>VLOOKUP(Tabelle4[[#This Row],[Key]],'3. Unique Results'!A:X,12,FALSE)</f>
        <v>44887.363807870373</v>
      </c>
      <c r="M86" s="17">
        <f>VLOOKUP(Tabelle4[[#This Row],[Key]],'3. Unique Results'!A:X,13,FALSE)</f>
        <v>44887.363807870373</v>
      </c>
      <c r="N86" s="17">
        <f>VLOOKUP(Tabelle4[[#This Row],[Key]],'3. Unique Results'!A:X,14,FALSE)</f>
        <v>0</v>
      </c>
      <c r="O86" t="str">
        <f>VLOOKUP(Tabelle4[[#This Row],[Key]],'3. Unique Results'!A:X,15,FALSE)</f>
        <v>63–64</v>
      </c>
      <c r="P86" t="str">
        <f>VLOOKUP(Tabelle4[[#This Row],[Key]],'3. Unique Results'!A:X,16,FALSE)</f>
        <v/>
      </c>
      <c r="Q86" t="str">
        <f>VLOOKUP(Tabelle4[[#This Row],[Key]],'3. Unique Results'!A:X,17,FALSE)</f>
        <v/>
      </c>
      <c r="R86" t="str">
        <f>VLOOKUP(Tabelle4[[#This Row],[Key]],'3. Unique Results'!A:X,18,FALSE)</f>
        <v/>
      </c>
      <c r="S86" t="str">
        <f>VLOOKUP(Tabelle4[[#This Row],[Key]],'3. Unique Results'!A:X,19,FALSE)</f>
        <v/>
      </c>
      <c r="T86" t="str">
        <f>VLOOKUP(Tabelle4[[#This Row],[Key]],'3. Unique Results'!A:X,20,FALSE)</f>
        <v>Association for Computing Machinery</v>
      </c>
      <c r="U86" t="str">
        <f>VLOOKUP(Tabelle4[[#This Row],[Key]],'3. Unique Results'!A:X,21,FALSE)</f>
        <v>New York, NY, USA</v>
      </c>
      <c r="V86" t="str">
        <f>VLOOKUP(Tabelle4[[#This Row],[Key]],'3. Unique Results'!A:X,22,FALSE)</f>
        <v/>
      </c>
      <c r="W86" t="str">
        <f>VLOOKUP(Tabelle4[[#This Row],[Key]],'3. Unique Results'!A:X,23,FALSE)</f>
        <v/>
      </c>
    </row>
    <row r="87" spans="1:23">
      <c r="A87" s="15" t="s">
        <v>4468</v>
      </c>
      <c r="B87" t="str">
        <f>VLOOKUP(Tabelle4[[#This Row],[Key]],'3. Unique Results'!A:X,2,FALSE)</f>
        <v>conferencePaper</v>
      </c>
      <c r="C87">
        <f>VLOOKUP(Tabelle4[[#This Row],[Key]],'3. Unique Results'!A:X,3,FALSE)</f>
        <v>2020</v>
      </c>
      <c r="D87" t="str">
        <f>VLOOKUP(Tabelle4[[#This Row],[Key]],'3. Unique Results'!A:X,4,FALSE)</f>
        <v>Benaben, Frederick; Lauras, Matthieu; Fertier, Audrey; Salatgé, Nicolas</v>
      </c>
      <c r="E87" t="str">
        <f>VLOOKUP(Tabelle4[[#This Row],[Key]],'3. Unique Results'!A:X,5,FALSE)</f>
        <v>Integrating Model-Driven Engineering as the next Challenge for Artificial Intelligence: Application to Risk and Crisis Management</v>
      </c>
      <c r="F87" t="str">
        <f>VLOOKUP(Tabelle4[[#This Row],[Key]],'3. Unique Results'!A:X,6,FALSE)</f>
        <v>Proceedings of the Winter Simulation Conference</v>
      </c>
      <c r="G87" t="str">
        <f>VLOOKUP(Tabelle4[[#This Row],[Key]],'3. Unique Results'!A:X,7,FALSE)</f>
        <v>978-1-72813-283-9</v>
      </c>
      <c r="H87" t="str">
        <f>VLOOKUP(Tabelle4[[#This Row],[Key]],'3. Unique Results'!A:X,8,FALSE)</f>
        <v/>
      </c>
      <c r="I87" t="str">
        <f>VLOOKUP(Tabelle4[[#This Row],[Key]],'3. Unique Results'!A:X,9,FALSE)</f>
        <v/>
      </c>
      <c r="J87" t="str">
        <f>VLOOKUP(Tabelle4[[#This Row],[Key]],'3. Unique Results'!A:X,10,FALSE)</f>
        <v/>
      </c>
      <c r="K87" t="str">
        <f>VLOOKUP(Tabelle4[[#This Row],[Key]],'3. Unique Results'!A:X,11,FALSE)</f>
        <v>2020</v>
      </c>
      <c r="L87">
        <f>VLOOKUP(Tabelle4[[#This Row],[Key]],'3. Unique Results'!A:X,12,FALSE)</f>
        <v>44887.363807870373</v>
      </c>
      <c r="M87" s="17">
        <f>VLOOKUP(Tabelle4[[#This Row],[Key]],'3. Unique Results'!A:X,13,FALSE)</f>
        <v>44887.492071759261</v>
      </c>
      <c r="N87" s="17">
        <f>VLOOKUP(Tabelle4[[#This Row],[Key]],'3. Unique Results'!A:X,14,FALSE)</f>
        <v>0</v>
      </c>
      <c r="O87" t="str">
        <f>VLOOKUP(Tabelle4[[#This Row],[Key]],'3. Unique Results'!A:X,15,FALSE)</f>
        <v>1549–1563</v>
      </c>
      <c r="P87" t="str">
        <f>VLOOKUP(Tabelle4[[#This Row],[Key]],'3. Unique Results'!A:X,16,FALSE)</f>
        <v/>
      </c>
      <c r="Q87" t="str">
        <f>VLOOKUP(Tabelle4[[#This Row],[Key]],'3. Unique Results'!A:X,17,FALSE)</f>
        <v/>
      </c>
      <c r="R87" t="str">
        <f>VLOOKUP(Tabelle4[[#This Row],[Key]],'3. Unique Results'!A:X,18,FALSE)</f>
        <v/>
      </c>
      <c r="S87" t="str">
        <f>VLOOKUP(Tabelle4[[#This Row],[Key]],'3. Unique Results'!A:X,19,FALSE)</f>
        <v/>
      </c>
      <c r="T87" t="str">
        <f>VLOOKUP(Tabelle4[[#This Row],[Key]],'3. Unique Results'!A:X,20,FALSE)</f>
        <v>IEEE Press</v>
      </c>
      <c r="U87" t="str">
        <f>VLOOKUP(Tabelle4[[#This Row],[Key]],'3. Unique Results'!A:X,21,FALSE)</f>
        <v/>
      </c>
      <c r="V87" t="str">
        <f>VLOOKUP(Tabelle4[[#This Row],[Key]],'3. Unique Results'!A:X,22,FALSE)</f>
        <v/>
      </c>
      <c r="W87" t="str">
        <f>VLOOKUP(Tabelle4[[#This Row],[Key]],'3. Unique Results'!A:X,23,FALSE)</f>
        <v/>
      </c>
    </row>
    <row r="88" spans="1:23">
      <c r="A88" s="14" t="s">
        <v>5866</v>
      </c>
      <c r="B88" t="str">
        <f>VLOOKUP(Tabelle4[[#This Row],[Key]],'3. Unique Results'!A:X,2,FALSE)</f>
        <v>journalArticle</v>
      </c>
      <c r="C88">
        <f>VLOOKUP(Tabelle4[[#This Row],[Key]],'3. Unique Results'!A:X,3,FALSE)</f>
        <v>2008</v>
      </c>
      <c r="D88" t="str">
        <f>VLOOKUP(Tabelle4[[#This Row],[Key]],'3. Unique Results'!A:X,4,FALSE)</f>
        <v>Mathaikutty, Deepak; Patel, Hiren; Shukla, Sandeep; Jantsch, Axel</v>
      </c>
      <c r="E88" t="str">
        <f>VLOOKUP(Tabelle4[[#This Row],[Key]],'3. Unique Results'!A:X,5,FALSE)</f>
        <v>EWD: A Metamodeling Driven Customizable Multi-MoC System Modeling Framework</v>
      </c>
      <c r="F88" t="str">
        <f>VLOOKUP(Tabelle4[[#This Row],[Key]],'3. Unique Results'!A:X,6,FALSE)</f>
        <v>ACM Trans. Des. Autom. Electron. Syst.</v>
      </c>
      <c r="G88" t="str">
        <f>VLOOKUP(Tabelle4[[#This Row],[Key]],'3. Unique Results'!A:X,7,FALSE)</f>
        <v/>
      </c>
      <c r="H88" t="str">
        <f>VLOOKUP(Tabelle4[[#This Row],[Key]],'3. Unique Results'!A:X,8,FALSE)</f>
        <v>1084-4309</v>
      </c>
      <c r="I88" t="str">
        <f>VLOOKUP(Tabelle4[[#This Row],[Key]],'3. Unique Results'!A:X,9,FALSE)</f>
        <v>10.1145/1255456.1255470</v>
      </c>
      <c r="J88" t="str">
        <f>VLOOKUP(Tabelle4[[#This Row],[Key]],'3. Unique Results'!A:X,10,FALSE)</f>
        <v>https://doi.org/10.1145/1255456.1255470</v>
      </c>
      <c r="K88" t="str">
        <f>VLOOKUP(Tabelle4[[#This Row],[Key]],'3. Unique Results'!A:X,11,FALSE)</f>
        <v>2008-05</v>
      </c>
      <c r="L88">
        <f>VLOOKUP(Tabelle4[[#This Row],[Key]],'3. Unique Results'!A:X,12,FALSE)</f>
        <v>44887.363807870373</v>
      </c>
      <c r="M88" s="17">
        <f>VLOOKUP(Tabelle4[[#This Row],[Key]],'3. Unique Results'!A:X,13,FALSE)</f>
        <v>44887.363807870373</v>
      </c>
      <c r="N88" s="17">
        <f>VLOOKUP(Tabelle4[[#This Row],[Key]],'3. Unique Results'!A:X,14,FALSE)</f>
        <v>0</v>
      </c>
      <c r="O88" t="str">
        <f>VLOOKUP(Tabelle4[[#This Row],[Key]],'3. Unique Results'!A:X,15,FALSE)</f>
        <v/>
      </c>
      <c r="P88" t="str">
        <f>VLOOKUP(Tabelle4[[#This Row],[Key]],'3. Unique Results'!A:X,16,FALSE)</f>
        <v>3</v>
      </c>
      <c r="Q88" t="str">
        <f>VLOOKUP(Tabelle4[[#This Row],[Key]],'3. Unique Results'!A:X,17,FALSE)</f>
        <v>12</v>
      </c>
      <c r="R88" t="str">
        <f>VLOOKUP(Tabelle4[[#This Row],[Key]],'3. Unique Results'!A:X,18,FALSE)</f>
        <v/>
      </c>
      <c r="S88" t="str">
        <f>VLOOKUP(Tabelle4[[#This Row],[Key]],'3. Unique Results'!A:X,19,FALSE)</f>
        <v/>
      </c>
      <c r="T88" t="str">
        <f>VLOOKUP(Tabelle4[[#This Row],[Key]],'3. Unique Results'!A:X,20,FALSE)</f>
        <v/>
      </c>
      <c r="U88" t="str">
        <f>VLOOKUP(Tabelle4[[#This Row],[Key]],'3. Unique Results'!A:X,21,FALSE)</f>
        <v/>
      </c>
      <c r="V88" t="str">
        <f>VLOOKUP(Tabelle4[[#This Row],[Key]],'3. Unique Results'!A:X,22,FALSE)</f>
        <v/>
      </c>
      <c r="W88" t="str">
        <f>VLOOKUP(Tabelle4[[#This Row],[Key]],'3. Unique Results'!A:X,23,FALSE)</f>
        <v/>
      </c>
    </row>
    <row r="89" spans="1:23">
      <c r="A89" s="15" t="s">
        <v>4469</v>
      </c>
      <c r="B89" t="str">
        <f>VLOOKUP(Tabelle4[[#This Row],[Key]],'3. Unique Results'!A:X,2,FALSE)</f>
        <v>journalArticle</v>
      </c>
      <c r="C89">
        <f>VLOOKUP(Tabelle4[[#This Row],[Key]],'3. Unique Results'!A:X,3,FALSE)</f>
        <v>2019</v>
      </c>
      <c r="D89" t="str">
        <f>VLOOKUP(Tabelle4[[#This Row],[Key]],'3. Unique Results'!A:X,4,FALSE)</f>
        <v>Kunft, Andreas; Katsifodimos, Asterios; Schelter, Sebastian; Breß, Sebastian; Rabl, Tilmann; Markl, Volker</v>
      </c>
      <c r="E89" t="str">
        <f>VLOOKUP(Tabelle4[[#This Row],[Key]],'3. Unique Results'!A:X,5,FALSE)</f>
        <v>An Intermediate Representation for Optimizing Machine Learning Pipelines</v>
      </c>
      <c r="F89" t="str">
        <f>VLOOKUP(Tabelle4[[#This Row],[Key]],'3. Unique Results'!A:X,6,FALSE)</f>
        <v>Proc. VLDB Endow.</v>
      </c>
      <c r="G89" t="str">
        <f>VLOOKUP(Tabelle4[[#This Row],[Key]],'3. Unique Results'!A:X,7,FALSE)</f>
        <v/>
      </c>
      <c r="H89" t="str">
        <f>VLOOKUP(Tabelle4[[#This Row],[Key]],'3. Unique Results'!A:X,8,FALSE)</f>
        <v>2150-8097</v>
      </c>
      <c r="I89" t="str">
        <f>VLOOKUP(Tabelle4[[#This Row],[Key]],'3. Unique Results'!A:X,9,FALSE)</f>
        <v>10.14778/3342263.3342633</v>
      </c>
      <c r="J89" t="str">
        <f>VLOOKUP(Tabelle4[[#This Row],[Key]],'3. Unique Results'!A:X,10,FALSE)</f>
        <v>https://doi.org/10.14778/3342263.3342633</v>
      </c>
      <c r="K89" t="str">
        <f>VLOOKUP(Tabelle4[[#This Row],[Key]],'3. Unique Results'!A:X,11,FALSE)</f>
        <v>2019-07</v>
      </c>
      <c r="L89">
        <f>VLOOKUP(Tabelle4[[#This Row],[Key]],'3. Unique Results'!A:X,12,FALSE)</f>
        <v>44887.363807870373</v>
      </c>
      <c r="M89" s="17">
        <f>VLOOKUP(Tabelle4[[#This Row],[Key]],'3. Unique Results'!A:X,13,FALSE)</f>
        <v>44887.363807870373</v>
      </c>
      <c r="N89" s="17">
        <f>VLOOKUP(Tabelle4[[#This Row],[Key]],'3. Unique Results'!A:X,14,FALSE)</f>
        <v>0</v>
      </c>
      <c r="O89" t="str">
        <f>VLOOKUP(Tabelle4[[#This Row],[Key]],'3. Unique Results'!A:X,15,FALSE)</f>
        <v>1553–1567</v>
      </c>
      <c r="P89" t="str">
        <f>VLOOKUP(Tabelle4[[#This Row],[Key]],'3. Unique Results'!A:X,16,FALSE)</f>
        <v>11</v>
      </c>
      <c r="Q89" t="str">
        <f>VLOOKUP(Tabelle4[[#This Row],[Key]],'3. Unique Results'!A:X,17,FALSE)</f>
        <v>12</v>
      </c>
      <c r="R89" t="str">
        <f>VLOOKUP(Tabelle4[[#This Row],[Key]],'3. Unique Results'!A:X,18,FALSE)</f>
        <v/>
      </c>
      <c r="S89" t="str">
        <f>VLOOKUP(Tabelle4[[#This Row],[Key]],'3. Unique Results'!A:X,19,FALSE)</f>
        <v/>
      </c>
      <c r="T89" t="str">
        <f>VLOOKUP(Tabelle4[[#This Row],[Key]],'3. Unique Results'!A:X,20,FALSE)</f>
        <v/>
      </c>
      <c r="U89" t="str">
        <f>VLOOKUP(Tabelle4[[#This Row],[Key]],'3. Unique Results'!A:X,21,FALSE)</f>
        <v/>
      </c>
      <c r="V89" t="str">
        <f>VLOOKUP(Tabelle4[[#This Row],[Key]],'3. Unique Results'!A:X,22,FALSE)</f>
        <v/>
      </c>
      <c r="W89" t="str">
        <f>VLOOKUP(Tabelle4[[#This Row],[Key]],'3. Unique Results'!A:X,23,FALSE)</f>
        <v/>
      </c>
    </row>
    <row r="90" spans="1:23">
      <c r="A90" s="14" t="s">
        <v>5867</v>
      </c>
      <c r="B90" t="str">
        <f>VLOOKUP(Tabelle4[[#This Row],[Key]],'3. Unique Results'!A:X,2,FALSE)</f>
        <v>journalArticle</v>
      </c>
      <c r="C90">
        <f>VLOOKUP(Tabelle4[[#This Row],[Key]],'3. Unique Results'!A:X,3,FALSE)</f>
        <v>2013</v>
      </c>
      <c r="D90" t="str">
        <f>VLOOKUP(Tabelle4[[#This Row],[Key]],'3. Unique Results'!A:X,4,FALSE)</f>
        <v>Hastjarjanto, Tom; Jeuring, Johan; Leather, Sean</v>
      </c>
      <c r="E90" t="str">
        <f>VLOOKUP(Tabelle4[[#This Row],[Key]],'3. Unique Results'!A:X,5,FALSE)</f>
        <v>A DSL for Describing the Artificial Intelligence in Real-Time Video Games</v>
      </c>
      <c r="F90" t="str">
        <f>VLOOKUP(Tabelle4[[#This Row],[Key]],'3. Unique Results'!A:X,6,FALSE)</f>
        <v>Proceedings of the 3rd International Workshop on Games and Software Engineering: Engineering Computer Games to Enable Positive, Progressive Change</v>
      </c>
      <c r="G90" t="str">
        <f>VLOOKUP(Tabelle4[[#This Row],[Key]],'3. Unique Results'!A:X,7,FALSE)</f>
        <v/>
      </c>
      <c r="H90" t="str">
        <f>VLOOKUP(Tabelle4[[#This Row],[Key]],'3. Unique Results'!A:X,8,FALSE)</f>
        <v/>
      </c>
      <c r="I90" t="str">
        <f>VLOOKUP(Tabelle4[[#This Row],[Key]],'3. Unique Results'!A:X,9,FALSE)</f>
        <v/>
      </c>
      <c r="J90" t="str">
        <f>VLOOKUP(Tabelle4[[#This Row],[Key]],'3. Unique Results'!A:X,10,FALSE)</f>
        <v/>
      </c>
      <c r="K90" t="str">
        <f>VLOOKUP(Tabelle4[[#This Row],[Key]],'3. Unique Results'!A:X,11,FALSE)</f>
        <v>2013</v>
      </c>
      <c r="L90">
        <f>VLOOKUP(Tabelle4[[#This Row],[Key]],'3. Unique Results'!A:X,12,FALSE)</f>
        <v>44887.363807870373</v>
      </c>
      <c r="M90" s="17">
        <f>VLOOKUP(Tabelle4[[#This Row],[Key]],'3. Unique Results'!A:X,13,FALSE)</f>
        <v>44887.363807870373</v>
      </c>
      <c r="N90" s="17">
        <f>VLOOKUP(Tabelle4[[#This Row],[Key]],'3. Unique Results'!A:X,14,FALSE)</f>
        <v>0</v>
      </c>
      <c r="O90" t="str">
        <f>VLOOKUP(Tabelle4[[#This Row],[Key]],'3. Unique Results'!A:X,15,FALSE)</f>
        <v>8–14</v>
      </c>
      <c r="P90" t="str">
        <f>VLOOKUP(Tabelle4[[#This Row],[Key]],'3. Unique Results'!A:X,16,FALSE)</f>
        <v/>
      </c>
      <c r="Q90" t="str">
        <f>VLOOKUP(Tabelle4[[#This Row],[Key]],'3. Unique Results'!A:X,17,FALSE)</f>
        <v/>
      </c>
      <c r="R90" t="str">
        <f>VLOOKUP(Tabelle4[[#This Row],[Key]],'3. Unique Results'!A:X,18,FALSE)</f>
        <v/>
      </c>
      <c r="S90" t="str">
        <f>VLOOKUP(Tabelle4[[#This Row],[Key]],'3. Unique Results'!A:X,19,FALSE)</f>
        <v/>
      </c>
      <c r="T90" t="str">
        <f>VLOOKUP(Tabelle4[[#This Row],[Key]],'3. Unique Results'!A:X,20,FALSE)</f>
        <v/>
      </c>
      <c r="U90" t="str">
        <f>VLOOKUP(Tabelle4[[#This Row],[Key]],'3. Unique Results'!A:X,21,FALSE)</f>
        <v/>
      </c>
      <c r="V90" t="str">
        <f>VLOOKUP(Tabelle4[[#This Row],[Key]],'3. Unique Results'!A:X,22,FALSE)</f>
        <v/>
      </c>
      <c r="W90" t="str">
        <f>VLOOKUP(Tabelle4[[#This Row],[Key]],'3. Unique Results'!A:X,23,FALSE)</f>
        <v/>
      </c>
    </row>
    <row r="91" spans="1:23">
      <c r="A91" s="15" t="s">
        <v>1172</v>
      </c>
      <c r="B91" t="e">
        <f>VLOOKUP(Tabelle4[[#This Row],[Key]],'3. Unique Results'!A:X,2,FALSE)</f>
        <v>#N/A</v>
      </c>
      <c r="C91" t="e">
        <f>VLOOKUP(Tabelle4[[#This Row],[Key]],'3. Unique Results'!A:X,3,FALSE)</f>
        <v>#N/A</v>
      </c>
      <c r="D91" t="e">
        <f>VLOOKUP(Tabelle4[[#This Row],[Key]],'3. Unique Results'!A:X,4,FALSE)</f>
        <v>#N/A</v>
      </c>
      <c r="E91" t="e">
        <f>VLOOKUP(Tabelle4[[#This Row],[Key]],'3. Unique Results'!A:X,5,FALSE)</f>
        <v>#N/A</v>
      </c>
      <c r="F91" t="e">
        <f>VLOOKUP(Tabelle4[[#This Row],[Key]],'3. Unique Results'!A:X,6,FALSE)</f>
        <v>#N/A</v>
      </c>
      <c r="G91" t="e">
        <f>VLOOKUP(Tabelle4[[#This Row],[Key]],'3. Unique Results'!A:X,7,FALSE)</f>
        <v>#N/A</v>
      </c>
      <c r="H91" t="e">
        <f>VLOOKUP(Tabelle4[[#This Row],[Key]],'3. Unique Results'!A:X,8,FALSE)</f>
        <v>#N/A</v>
      </c>
      <c r="I91" t="e">
        <f>VLOOKUP(Tabelle4[[#This Row],[Key]],'3. Unique Results'!A:X,9,FALSE)</f>
        <v>#N/A</v>
      </c>
      <c r="J91" t="e">
        <f>VLOOKUP(Tabelle4[[#This Row],[Key]],'3. Unique Results'!A:X,10,FALSE)</f>
        <v>#N/A</v>
      </c>
      <c r="K91" t="e">
        <f>VLOOKUP(Tabelle4[[#This Row],[Key]],'3. Unique Results'!A:X,11,FALSE)</f>
        <v>#N/A</v>
      </c>
      <c r="L91" t="e">
        <f>VLOOKUP(Tabelle4[[#This Row],[Key]],'3. Unique Results'!A:X,12,FALSE)</f>
        <v>#N/A</v>
      </c>
      <c r="M91" s="17" t="e">
        <f>VLOOKUP(Tabelle4[[#This Row],[Key]],'3. Unique Results'!A:X,13,FALSE)</f>
        <v>#N/A</v>
      </c>
      <c r="N91" s="17" t="e">
        <f>VLOOKUP(Tabelle4[[#This Row],[Key]],'3. Unique Results'!A:X,14,FALSE)</f>
        <v>#N/A</v>
      </c>
      <c r="O91" t="e">
        <f>VLOOKUP(Tabelle4[[#This Row],[Key]],'3. Unique Results'!A:X,15,FALSE)</f>
        <v>#N/A</v>
      </c>
      <c r="P91" t="e">
        <f>VLOOKUP(Tabelle4[[#This Row],[Key]],'3. Unique Results'!A:X,16,FALSE)</f>
        <v>#N/A</v>
      </c>
      <c r="Q91" t="e">
        <f>VLOOKUP(Tabelle4[[#This Row],[Key]],'3. Unique Results'!A:X,17,FALSE)</f>
        <v>#N/A</v>
      </c>
      <c r="R91" t="e">
        <f>VLOOKUP(Tabelle4[[#This Row],[Key]],'3. Unique Results'!A:X,18,FALSE)</f>
        <v>#N/A</v>
      </c>
      <c r="S91" t="e">
        <f>VLOOKUP(Tabelle4[[#This Row],[Key]],'3. Unique Results'!A:X,19,FALSE)</f>
        <v>#N/A</v>
      </c>
      <c r="T91" t="e">
        <f>VLOOKUP(Tabelle4[[#This Row],[Key]],'3. Unique Results'!A:X,20,FALSE)</f>
        <v>#N/A</v>
      </c>
      <c r="U91" t="e">
        <f>VLOOKUP(Tabelle4[[#This Row],[Key]],'3. Unique Results'!A:X,21,FALSE)</f>
        <v>#N/A</v>
      </c>
      <c r="V91" t="e">
        <f>VLOOKUP(Tabelle4[[#This Row],[Key]],'3. Unique Results'!A:X,22,FALSE)</f>
        <v>#N/A</v>
      </c>
      <c r="W91" t="e">
        <f>VLOOKUP(Tabelle4[[#This Row],[Key]],'3. Unique Results'!A:X,23,FALSE)</f>
        <v>#N/A</v>
      </c>
    </row>
    <row r="92" spans="1:23">
      <c r="A92" s="15" t="s">
        <v>1463</v>
      </c>
      <c r="B92" t="e">
        <f>VLOOKUP(Tabelle4[[#This Row],[Key]],'3. Unique Results'!A:X,2,FALSE)</f>
        <v>#N/A</v>
      </c>
      <c r="C92" t="e">
        <f>VLOOKUP(Tabelle4[[#This Row],[Key]],'3. Unique Results'!A:X,3,FALSE)</f>
        <v>#N/A</v>
      </c>
      <c r="D92" t="e">
        <f>VLOOKUP(Tabelle4[[#This Row],[Key]],'3. Unique Results'!A:X,4,FALSE)</f>
        <v>#N/A</v>
      </c>
      <c r="E92" t="e">
        <f>VLOOKUP(Tabelle4[[#This Row],[Key]],'3. Unique Results'!A:X,5,FALSE)</f>
        <v>#N/A</v>
      </c>
      <c r="F92" t="e">
        <f>VLOOKUP(Tabelle4[[#This Row],[Key]],'3. Unique Results'!A:X,6,FALSE)</f>
        <v>#N/A</v>
      </c>
      <c r="G92" t="e">
        <f>VLOOKUP(Tabelle4[[#This Row],[Key]],'3. Unique Results'!A:X,7,FALSE)</f>
        <v>#N/A</v>
      </c>
      <c r="H92" t="e">
        <f>VLOOKUP(Tabelle4[[#This Row],[Key]],'3. Unique Results'!A:X,8,FALSE)</f>
        <v>#N/A</v>
      </c>
      <c r="I92" t="e">
        <f>VLOOKUP(Tabelle4[[#This Row],[Key]],'3. Unique Results'!A:X,9,FALSE)</f>
        <v>#N/A</v>
      </c>
      <c r="J92" t="e">
        <f>VLOOKUP(Tabelle4[[#This Row],[Key]],'3. Unique Results'!A:X,10,FALSE)</f>
        <v>#N/A</v>
      </c>
      <c r="K92" t="e">
        <f>VLOOKUP(Tabelle4[[#This Row],[Key]],'3. Unique Results'!A:X,11,FALSE)</f>
        <v>#N/A</v>
      </c>
      <c r="L92" t="e">
        <f>VLOOKUP(Tabelle4[[#This Row],[Key]],'3. Unique Results'!A:X,12,FALSE)</f>
        <v>#N/A</v>
      </c>
      <c r="M92" s="17" t="e">
        <f>VLOOKUP(Tabelle4[[#This Row],[Key]],'3. Unique Results'!A:X,13,FALSE)</f>
        <v>#N/A</v>
      </c>
      <c r="N92" s="17" t="e">
        <f>VLOOKUP(Tabelle4[[#This Row],[Key]],'3. Unique Results'!A:X,14,FALSE)</f>
        <v>#N/A</v>
      </c>
      <c r="O92" t="e">
        <f>VLOOKUP(Tabelle4[[#This Row],[Key]],'3. Unique Results'!A:X,15,FALSE)</f>
        <v>#N/A</v>
      </c>
      <c r="P92" t="e">
        <f>VLOOKUP(Tabelle4[[#This Row],[Key]],'3. Unique Results'!A:X,16,FALSE)</f>
        <v>#N/A</v>
      </c>
      <c r="Q92" t="e">
        <f>VLOOKUP(Tabelle4[[#This Row],[Key]],'3. Unique Results'!A:X,17,FALSE)</f>
        <v>#N/A</v>
      </c>
      <c r="R92" t="e">
        <f>VLOOKUP(Tabelle4[[#This Row],[Key]],'3. Unique Results'!A:X,18,FALSE)</f>
        <v>#N/A</v>
      </c>
      <c r="S92" t="e">
        <f>VLOOKUP(Tabelle4[[#This Row],[Key]],'3. Unique Results'!A:X,19,FALSE)</f>
        <v>#N/A</v>
      </c>
      <c r="T92" t="e">
        <f>VLOOKUP(Tabelle4[[#This Row],[Key]],'3. Unique Results'!A:X,20,FALSE)</f>
        <v>#N/A</v>
      </c>
      <c r="U92" t="e">
        <f>VLOOKUP(Tabelle4[[#This Row],[Key]],'3. Unique Results'!A:X,21,FALSE)</f>
        <v>#N/A</v>
      </c>
      <c r="V92" t="e">
        <f>VLOOKUP(Tabelle4[[#This Row],[Key]],'3. Unique Results'!A:X,22,FALSE)</f>
        <v>#N/A</v>
      </c>
      <c r="W92" t="e">
        <f>VLOOKUP(Tabelle4[[#This Row],[Key]],'3. Unique Results'!A:X,23,FALSE)</f>
        <v>#N/A</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41C6D-E233-4506-8719-655ABAD59905}">
  <dimension ref="A1:W38"/>
  <sheetViews>
    <sheetView topLeftCell="A10" workbookViewId="0">
      <selection activeCell="X10" sqref="X1:X1048576"/>
    </sheetView>
    <sheetView workbookViewId="1"/>
  </sheetViews>
  <sheetFormatPr baseColWidth="10" defaultRowHeight="14.5"/>
  <cols>
    <col min="2" max="2" width="12" customWidth="1"/>
    <col min="3" max="3" width="17.453125" customWidth="1"/>
    <col min="5" max="5" width="138.7265625" bestFit="1" customWidth="1"/>
    <col min="6" max="6" width="17.54296875" customWidth="1"/>
    <col min="11" max="11" width="15.26953125" customWidth="1"/>
    <col min="13" max="13" width="13.54296875" style="17" customWidth="1"/>
    <col min="14" max="14" width="15.81640625" style="17" customWidth="1"/>
    <col min="15" max="15" width="13.54296875" customWidth="1"/>
    <col min="17" max="17" width="13" customWidth="1"/>
    <col min="21" max="21" width="11.54296875" customWidth="1"/>
  </cols>
  <sheetData>
    <row r="1" spans="1:23">
      <c r="A1" t="s">
        <v>72</v>
      </c>
      <c r="B1" t="s">
        <v>73</v>
      </c>
      <c r="C1" t="s">
        <v>74</v>
      </c>
      <c r="D1" t="s">
        <v>75</v>
      </c>
      <c r="E1" t="s">
        <v>76</v>
      </c>
      <c r="F1" t="s">
        <v>77</v>
      </c>
      <c r="G1" t="s">
        <v>78</v>
      </c>
      <c r="H1" t="s">
        <v>79</v>
      </c>
      <c r="I1" t="s">
        <v>80</v>
      </c>
      <c r="J1" t="s">
        <v>81</v>
      </c>
      <c r="K1" t="s">
        <v>82</v>
      </c>
      <c r="L1" t="s">
        <v>83</v>
      </c>
      <c r="M1" s="17" t="s">
        <v>84</v>
      </c>
      <c r="N1" s="17" t="s">
        <v>85</v>
      </c>
      <c r="O1" t="s">
        <v>86</v>
      </c>
      <c r="P1" t="s">
        <v>87</v>
      </c>
      <c r="Q1" t="s">
        <v>88</v>
      </c>
      <c r="R1" t="s">
        <v>2</v>
      </c>
      <c r="S1" t="s">
        <v>89</v>
      </c>
      <c r="T1" t="s">
        <v>90</v>
      </c>
      <c r="U1" t="s">
        <v>91</v>
      </c>
      <c r="V1" t="s">
        <v>92</v>
      </c>
      <c r="W1" t="s">
        <v>93</v>
      </c>
    </row>
    <row r="2" spans="1:23">
      <c r="A2" t="s">
        <v>4437</v>
      </c>
      <c r="B2" t="str">
        <f>VLOOKUP(Tabelle43[[#This Row],[Key]],'3. Unique Results'!A:X,2,FALSE)</f>
        <v>conferencePaper</v>
      </c>
      <c r="C2">
        <f>VLOOKUP(Tabelle43[[#This Row],[Key]],'3. Unique Results'!A:X,3,FALSE)</f>
        <v>2020</v>
      </c>
      <c r="D2" t="str">
        <f>VLOOKUP(Tabelle43[[#This Row],[Key]],'3. Unique Results'!A:X,4,FALSE)</f>
        <v>Al-Azzoni, Issam</v>
      </c>
      <c r="E2" t="str">
        <f>VLOOKUP(Tabelle43[[#This Row],[Key]],'3. Unique Results'!A:X,5,FALSE)</f>
        <v>Model Driven Approach for Neural Networks</v>
      </c>
      <c r="F2" t="str">
        <f>VLOOKUP(Tabelle43[[#This Row],[Key]],'3. Unique Results'!A:X,6,FALSE)</f>
        <v>2020 International Conference on Intelligent Data Science Technologies and Applications (IDSTA)</v>
      </c>
      <c r="G2" t="str">
        <f>VLOOKUP(Tabelle43[[#This Row],[Key]],'3. Unique Results'!A:X,7,FALSE)</f>
        <v/>
      </c>
      <c r="H2" t="str">
        <f>VLOOKUP(Tabelle43[[#This Row],[Key]],'3. Unique Results'!A:X,8,FALSE)</f>
        <v/>
      </c>
      <c r="I2" t="str">
        <f>VLOOKUP(Tabelle43[[#This Row],[Key]],'3. Unique Results'!A:X,9,FALSE)</f>
        <v>10.1109/IDSTA50958.2020.9264067</v>
      </c>
      <c r="J2" t="str">
        <f>VLOOKUP(Tabelle43[[#This Row],[Key]],'3. Unique Results'!A:X,10,FALSE)</f>
        <v/>
      </c>
      <c r="K2" t="str">
        <f>VLOOKUP(Tabelle43[[#This Row],[Key]],'3. Unique Results'!A:X,11,FALSE)</f>
        <v>2020</v>
      </c>
      <c r="L2">
        <f>VLOOKUP(Tabelle43[[#This Row],[Key]],'3. Unique Results'!A:X,12,FALSE)</f>
        <v>44887.363807870373</v>
      </c>
      <c r="M2" s="17">
        <f>VLOOKUP(Tabelle43[[#This Row],[Key]],'3. Unique Results'!A:X,13,FALSE)</f>
        <v>44887.363807870373</v>
      </c>
      <c r="N2" s="17">
        <f>VLOOKUP(Tabelle43[[#This Row],[Key]],'3. Unique Results'!A:X,14,FALSE)</f>
        <v>0</v>
      </c>
      <c r="O2" t="str">
        <f>VLOOKUP(Tabelle43[[#This Row],[Key]],'3. Unique Results'!A:X,15,FALSE)</f>
        <v>87-94</v>
      </c>
      <c r="P2" t="str">
        <f>VLOOKUP(Tabelle43[[#This Row],[Key]],'3. Unique Results'!A:X,16,FALSE)</f>
        <v/>
      </c>
      <c r="Q2" t="str">
        <f>VLOOKUP(Tabelle43[[#This Row],[Key]],'3. Unique Results'!A:X,17,FALSE)</f>
        <v/>
      </c>
      <c r="R2" t="str">
        <f>VLOOKUP(Tabelle43[[#This Row],[Key]],'3. Unique Results'!A:X,18,FALSE)</f>
        <v/>
      </c>
      <c r="S2" t="str">
        <f>VLOOKUP(Tabelle43[[#This Row],[Key]],'3. Unique Results'!A:X,19,FALSE)</f>
        <v/>
      </c>
      <c r="T2" t="str">
        <f>VLOOKUP(Tabelle43[[#This Row],[Key]],'3. Unique Results'!A:X,20,FALSE)</f>
        <v/>
      </c>
      <c r="U2" t="str">
        <f>VLOOKUP(Tabelle43[[#This Row],[Key]],'3. Unique Results'!A:X,21,FALSE)</f>
        <v/>
      </c>
      <c r="V2" t="str">
        <f>VLOOKUP(Tabelle43[[#This Row],[Key]],'3. Unique Results'!A:X,22,FALSE)</f>
        <v/>
      </c>
      <c r="W2" t="str">
        <f>VLOOKUP(Tabelle43[[#This Row],[Key]],'3. Unique Results'!A:X,23,FALSE)</f>
        <v/>
      </c>
    </row>
    <row r="3" spans="1:23">
      <c r="A3" t="s">
        <v>4468</v>
      </c>
      <c r="B3" t="str">
        <f>VLOOKUP(Tabelle43[[#This Row],[Key]],'3. Unique Results'!A:X,2,FALSE)</f>
        <v>conferencePaper</v>
      </c>
      <c r="C3">
        <f>VLOOKUP(Tabelle43[[#This Row],[Key]],'3. Unique Results'!A:X,3,FALSE)</f>
        <v>2020</v>
      </c>
      <c r="D3" t="str">
        <f>VLOOKUP(Tabelle43[[#This Row],[Key]],'3. Unique Results'!A:X,4,FALSE)</f>
        <v>Benaben, Frederick; Lauras, Matthieu; Fertier, Audrey; Salatgé, Nicolas</v>
      </c>
      <c r="E3" t="str">
        <f>VLOOKUP(Tabelle43[[#This Row],[Key]],'3. Unique Results'!A:X,5,FALSE)</f>
        <v>Integrating Model-Driven Engineering as the next Challenge for Artificial Intelligence: Application to Risk and Crisis Management</v>
      </c>
      <c r="F3" t="str">
        <f>VLOOKUP(Tabelle43[[#This Row],[Key]],'3. Unique Results'!A:X,6,FALSE)</f>
        <v>Proceedings of the Winter Simulation Conference</v>
      </c>
      <c r="G3" t="str">
        <f>VLOOKUP(Tabelle43[[#This Row],[Key]],'3. Unique Results'!A:X,7,FALSE)</f>
        <v>978-1-72813-283-9</v>
      </c>
      <c r="H3" t="str">
        <f>VLOOKUP(Tabelle43[[#This Row],[Key]],'3. Unique Results'!A:X,8,FALSE)</f>
        <v/>
      </c>
      <c r="I3" t="str">
        <f>VLOOKUP(Tabelle43[[#This Row],[Key]],'3. Unique Results'!A:X,9,FALSE)</f>
        <v/>
      </c>
      <c r="J3" t="str">
        <f>VLOOKUP(Tabelle43[[#This Row],[Key]],'3. Unique Results'!A:X,10,FALSE)</f>
        <v/>
      </c>
      <c r="K3" t="str">
        <f>VLOOKUP(Tabelle43[[#This Row],[Key]],'3. Unique Results'!A:X,11,FALSE)</f>
        <v>2020</v>
      </c>
      <c r="L3">
        <f>VLOOKUP(Tabelle43[[#This Row],[Key]],'3. Unique Results'!A:X,12,FALSE)</f>
        <v>44887.363807870373</v>
      </c>
      <c r="M3" s="17">
        <f>VLOOKUP(Tabelle43[[#This Row],[Key]],'3. Unique Results'!A:X,13,FALSE)</f>
        <v>44887.492071759261</v>
      </c>
      <c r="N3" s="17">
        <f>VLOOKUP(Tabelle43[[#This Row],[Key]],'3. Unique Results'!A:X,14,FALSE)</f>
        <v>0</v>
      </c>
      <c r="O3" t="str">
        <f>VLOOKUP(Tabelle43[[#This Row],[Key]],'3. Unique Results'!A:X,15,FALSE)</f>
        <v>1549–1563</v>
      </c>
      <c r="P3" t="str">
        <f>VLOOKUP(Tabelle43[[#This Row],[Key]],'3. Unique Results'!A:X,16,FALSE)</f>
        <v/>
      </c>
      <c r="Q3" t="str">
        <f>VLOOKUP(Tabelle43[[#This Row],[Key]],'3. Unique Results'!A:X,17,FALSE)</f>
        <v/>
      </c>
      <c r="R3" t="str">
        <f>VLOOKUP(Tabelle43[[#This Row],[Key]],'3. Unique Results'!A:X,18,FALSE)</f>
        <v/>
      </c>
      <c r="S3" t="str">
        <f>VLOOKUP(Tabelle43[[#This Row],[Key]],'3. Unique Results'!A:X,19,FALSE)</f>
        <v/>
      </c>
      <c r="T3" t="str">
        <f>VLOOKUP(Tabelle43[[#This Row],[Key]],'3. Unique Results'!A:X,20,FALSE)</f>
        <v>IEEE Press</v>
      </c>
      <c r="U3" t="str">
        <f>VLOOKUP(Tabelle43[[#This Row],[Key]],'3. Unique Results'!A:X,21,FALSE)</f>
        <v/>
      </c>
      <c r="V3" t="str">
        <f>VLOOKUP(Tabelle43[[#This Row],[Key]],'3. Unique Results'!A:X,22,FALSE)</f>
        <v/>
      </c>
      <c r="W3" t="str">
        <f>VLOOKUP(Tabelle43[[#This Row],[Key]],'3. Unique Results'!A:X,23,FALSE)</f>
        <v/>
      </c>
    </row>
    <row r="4" spans="1:23">
      <c r="A4" t="s">
        <v>4439</v>
      </c>
      <c r="B4" t="str">
        <f>VLOOKUP(Tabelle43[[#This Row],[Key]],'3. Unique Results'!A:X,2,FALSE)</f>
        <v>conferencePaper</v>
      </c>
      <c r="C4">
        <f>VLOOKUP(Tabelle43[[#This Row],[Key]],'3. Unique Results'!A:X,3,FALSE)</f>
        <v>2019</v>
      </c>
      <c r="D4" t="str">
        <f>VLOOKUP(Tabelle43[[#This Row],[Key]],'3. Unique Results'!A:X,4,FALSE)</f>
        <v>Bhattacharjee, Anirban; Barve, Yogesh; Khare, Shweta; Bao, Shunxing; Kang, Zhuangwei; Gokhale, Aniruddha; Damiano, Thomas</v>
      </c>
      <c r="E4" t="str">
        <f>VLOOKUP(Tabelle43[[#This Row],[Key]],'3. Unique Results'!A:X,5,FALSE)</f>
        <v>STRATUM: A BigData-as-a-Service for Lifecycle Management of IoT Analytics Applications</v>
      </c>
      <c r="F4" t="str">
        <f>VLOOKUP(Tabelle43[[#This Row],[Key]],'3. Unique Results'!A:X,6,FALSE)</f>
        <v>2019 IEEE International Conference on Big Data (Big Data)</v>
      </c>
      <c r="G4" t="str">
        <f>VLOOKUP(Tabelle43[[#This Row],[Key]],'3. Unique Results'!A:X,7,FALSE)</f>
        <v/>
      </c>
      <c r="H4" t="str">
        <f>VLOOKUP(Tabelle43[[#This Row],[Key]],'3. Unique Results'!A:X,8,FALSE)</f>
        <v/>
      </c>
      <c r="I4" t="str">
        <f>VLOOKUP(Tabelle43[[#This Row],[Key]],'3. Unique Results'!A:X,9,FALSE)</f>
        <v>10.1109/BigData47090.2019.9006518</v>
      </c>
      <c r="J4" t="str">
        <f>VLOOKUP(Tabelle43[[#This Row],[Key]],'3. Unique Results'!A:X,10,FALSE)</f>
        <v/>
      </c>
      <c r="K4" t="str">
        <f>VLOOKUP(Tabelle43[[#This Row],[Key]],'3. Unique Results'!A:X,11,FALSE)</f>
        <v>2019</v>
      </c>
      <c r="L4">
        <f>VLOOKUP(Tabelle43[[#This Row],[Key]],'3. Unique Results'!A:X,12,FALSE)</f>
        <v>44887.363807870373</v>
      </c>
      <c r="M4" s="17">
        <f>VLOOKUP(Tabelle43[[#This Row],[Key]],'3. Unique Results'!A:X,13,FALSE)</f>
        <v>44887.363807870373</v>
      </c>
      <c r="N4" s="17">
        <f>VLOOKUP(Tabelle43[[#This Row],[Key]],'3. Unique Results'!A:X,14,FALSE)</f>
        <v>0</v>
      </c>
      <c r="O4" t="str">
        <f>VLOOKUP(Tabelle43[[#This Row],[Key]],'3. Unique Results'!A:X,15,FALSE)</f>
        <v>1607-1612</v>
      </c>
      <c r="P4" t="str">
        <f>VLOOKUP(Tabelle43[[#This Row],[Key]],'3. Unique Results'!A:X,16,FALSE)</f>
        <v/>
      </c>
      <c r="Q4" t="str">
        <f>VLOOKUP(Tabelle43[[#This Row],[Key]],'3. Unique Results'!A:X,17,FALSE)</f>
        <v/>
      </c>
      <c r="R4" t="str">
        <f>VLOOKUP(Tabelle43[[#This Row],[Key]],'3. Unique Results'!A:X,18,FALSE)</f>
        <v/>
      </c>
      <c r="S4" t="str">
        <f>VLOOKUP(Tabelle43[[#This Row],[Key]],'3. Unique Results'!A:X,19,FALSE)</f>
        <v/>
      </c>
      <c r="T4" t="str">
        <f>VLOOKUP(Tabelle43[[#This Row],[Key]],'3. Unique Results'!A:X,20,FALSE)</f>
        <v/>
      </c>
      <c r="U4" t="str">
        <f>VLOOKUP(Tabelle43[[#This Row],[Key]],'3. Unique Results'!A:X,21,FALSE)</f>
        <v/>
      </c>
      <c r="V4" t="str">
        <f>VLOOKUP(Tabelle43[[#This Row],[Key]],'3. Unique Results'!A:X,22,FALSE)</f>
        <v/>
      </c>
      <c r="W4" t="str">
        <f>VLOOKUP(Tabelle43[[#This Row],[Key]],'3. Unique Results'!A:X,23,FALSE)</f>
        <v/>
      </c>
    </row>
    <row r="5" spans="1:23">
      <c r="A5" t="s">
        <v>4446</v>
      </c>
      <c r="B5" t="str">
        <f>VLOOKUP(Tabelle43[[#This Row],[Key]],'3. Unique Results'!A:X,2,FALSE)</f>
        <v>journalArticle</v>
      </c>
      <c r="C5">
        <f>VLOOKUP(Tabelle43[[#This Row],[Key]],'3. Unique Results'!A:X,3,FALSE)</f>
        <v>2014</v>
      </c>
      <c r="D5" t="str">
        <f>VLOOKUP(Tabelle43[[#This Row],[Key]],'3. Unique Results'!A:X,4,FALSE)</f>
        <v>Breuker, D.</v>
      </c>
      <c r="E5" t="str">
        <f>VLOOKUP(Tabelle43[[#This Row],[Key]],'3. Unique Results'!A:X,5,FALSE)</f>
        <v>Towards Model-Driven Engineering for Big Data Analytics–An Exploratory Analysis of Domain-Specific Languages for Machine Learning</v>
      </c>
      <c r="F5" t="str">
        <f>VLOOKUP(Tabelle43[[#This Row],[Key]],'3. Unique Results'!A:X,6,FALSE)</f>
        <v>2014 47th Hawaii International Conference on …</v>
      </c>
      <c r="G5" t="str">
        <f>VLOOKUP(Tabelle43[[#This Row],[Key]],'3. Unique Results'!A:X,7,FALSE)</f>
        <v/>
      </c>
      <c r="H5" t="str">
        <f>VLOOKUP(Tabelle43[[#This Row],[Key]],'3. Unique Results'!A:X,8,FALSE)</f>
        <v/>
      </c>
      <c r="I5" t="str">
        <f>VLOOKUP(Tabelle43[[#This Row],[Key]],'3. Unique Results'!A:X,9,FALSE)</f>
        <v/>
      </c>
      <c r="J5" t="str">
        <f>VLOOKUP(Tabelle43[[#This Row],[Key]],'3. Unique Results'!A:X,10,FALSE)</f>
        <v>https://ieeexplore.ieee.org/abstract/document/6758697/</v>
      </c>
      <c r="K5" t="str">
        <f>VLOOKUP(Tabelle43[[#This Row],[Key]],'3. Unique Results'!A:X,11,FALSE)</f>
        <v>2014</v>
      </c>
      <c r="L5">
        <f>VLOOKUP(Tabelle43[[#This Row],[Key]],'3. Unique Results'!A:X,12,FALSE)</f>
        <v>44887.363807870373</v>
      </c>
      <c r="M5" s="17">
        <f>VLOOKUP(Tabelle43[[#This Row],[Key]],'3. Unique Results'!A:X,13,FALSE)</f>
        <v>44887.363807870373</v>
      </c>
      <c r="N5" s="17">
        <f>VLOOKUP(Tabelle43[[#This Row],[Key]],'3. Unique Results'!A:X,14,FALSE)</f>
        <v>0</v>
      </c>
      <c r="O5" t="str">
        <f>VLOOKUP(Tabelle43[[#This Row],[Key]],'3. Unique Results'!A:X,15,FALSE)</f>
        <v/>
      </c>
      <c r="P5" t="str">
        <f>VLOOKUP(Tabelle43[[#This Row],[Key]],'3. Unique Results'!A:X,16,FALSE)</f>
        <v/>
      </c>
      <c r="Q5" t="str">
        <f>VLOOKUP(Tabelle43[[#This Row],[Key]],'3. Unique Results'!A:X,17,FALSE)</f>
        <v/>
      </c>
      <c r="R5" t="str">
        <f>VLOOKUP(Tabelle43[[#This Row],[Key]],'3. Unique Results'!A:X,18,FALSE)</f>
        <v/>
      </c>
      <c r="S5" t="str">
        <f>VLOOKUP(Tabelle43[[#This Row],[Key]],'3. Unique Results'!A:X,19,FALSE)</f>
        <v/>
      </c>
      <c r="T5" t="str">
        <f>VLOOKUP(Tabelle43[[#This Row],[Key]],'3. Unique Results'!A:X,20,FALSE)</f>
        <v/>
      </c>
      <c r="U5" t="str">
        <f>VLOOKUP(Tabelle43[[#This Row],[Key]],'3. Unique Results'!A:X,21,FALSE)</f>
        <v/>
      </c>
      <c r="V5" t="str">
        <f>VLOOKUP(Tabelle43[[#This Row],[Key]],'3. Unique Results'!A:X,22,FALSE)</f>
        <v/>
      </c>
      <c r="W5" t="str">
        <f>VLOOKUP(Tabelle43[[#This Row],[Key]],'3. Unique Results'!A:X,23,FALSE)</f>
        <v/>
      </c>
    </row>
    <row r="6" spans="1:23">
      <c r="A6" t="s">
        <v>4448</v>
      </c>
      <c r="B6" t="str">
        <f>VLOOKUP(Tabelle43[[#This Row],[Key]],'3. Unique Results'!A:X,2,FALSE)</f>
        <v>journalArticle</v>
      </c>
      <c r="C6">
        <f>VLOOKUP(Tabelle43[[#This Row],[Key]],'3. Unique Results'!A:X,3,FALSE)</f>
        <v>2022</v>
      </c>
      <c r="D6" t="str">
        <f>VLOOKUP(Tabelle43[[#This Row],[Key]],'3. Unique Results'!A:X,4,FALSE)</f>
        <v>Burgueño, Lola; Cabot, Jordi; Wimmer, Manuel; Zschaler, Steffen</v>
      </c>
      <c r="E6" t="str">
        <f>VLOOKUP(Tabelle43[[#This Row],[Key]],'3. Unique Results'!A:X,5,FALSE)</f>
        <v>Guest editorial to the theme section on AI-enhanced model-driven engineering</v>
      </c>
      <c r="F6" t="str">
        <f>VLOOKUP(Tabelle43[[#This Row],[Key]],'3. Unique Results'!A:X,6,FALSE)</f>
        <v>Software and Systems Modeling</v>
      </c>
      <c r="G6" t="str">
        <f>VLOOKUP(Tabelle43[[#This Row],[Key]],'3. Unique Results'!A:X,7,FALSE)</f>
        <v/>
      </c>
      <c r="H6" t="str">
        <f>VLOOKUP(Tabelle43[[#This Row],[Key]],'3. Unique Results'!A:X,8,FALSE)</f>
        <v>1619-1366, 1619-1374</v>
      </c>
      <c r="I6" t="str">
        <f>VLOOKUP(Tabelle43[[#This Row],[Key]],'3. Unique Results'!A:X,9,FALSE)</f>
        <v>10.1007/s10270-022-00988-0</v>
      </c>
      <c r="J6" t="str">
        <f>VLOOKUP(Tabelle43[[#This Row],[Key]],'3. Unique Results'!A:X,10,FALSE)</f>
        <v>https://link.springer.com/10.1007/s10270-022-00988-0</v>
      </c>
      <c r="K6" t="str">
        <f>VLOOKUP(Tabelle43[[#This Row],[Key]],'3. Unique Results'!A:X,11,FALSE)</f>
        <v>2022-06</v>
      </c>
      <c r="L6">
        <f>VLOOKUP(Tabelle43[[#This Row],[Key]],'3. Unique Results'!A:X,12,FALSE)</f>
        <v>44887.363807870373</v>
      </c>
      <c r="M6" s="17">
        <f>VLOOKUP(Tabelle43[[#This Row],[Key]],'3. Unique Results'!A:X,13,FALSE)</f>
        <v>44887.363807870373</v>
      </c>
      <c r="N6" s="17">
        <f>VLOOKUP(Tabelle43[[#This Row],[Key]],'3. Unique Results'!A:X,14,FALSE)</f>
        <v>44886.597951388889</v>
      </c>
      <c r="O6" t="str">
        <f>VLOOKUP(Tabelle43[[#This Row],[Key]],'3. Unique Results'!A:X,15,FALSE)</f>
        <v>963-965</v>
      </c>
      <c r="P6" t="str">
        <f>VLOOKUP(Tabelle43[[#This Row],[Key]],'3. Unique Results'!A:X,16,FALSE)</f>
        <v>3</v>
      </c>
      <c r="Q6" t="str">
        <f>VLOOKUP(Tabelle43[[#This Row],[Key]],'3. Unique Results'!A:X,17,FALSE)</f>
        <v>21</v>
      </c>
      <c r="R6" t="str">
        <f>VLOOKUP(Tabelle43[[#This Row],[Key]],'3. Unique Results'!A:X,18,FALSE)</f>
        <v>Softw Syst Model</v>
      </c>
      <c r="S6" t="str">
        <f>VLOOKUP(Tabelle43[[#This Row],[Key]],'3. Unique Results'!A:X,19,FALSE)</f>
        <v/>
      </c>
      <c r="T6" t="str">
        <f>VLOOKUP(Tabelle43[[#This Row],[Key]],'3. Unique Results'!A:X,20,FALSE)</f>
        <v/>
      </c>
      <c r="U6" t="str">
        <f>VLOOKUP(Tabelle43[[#This Row],[Key]],'3. Unique Results'!A:X,21,FALSE)</f>
        <v/>
      </c>
      <c r="V6" t="str">
        <f>VLOOKUP(Tabelle43[[#This Row],[Key]],'3. Unique Results'!A:X,22,FALSE)</f>
        <v>en</v>
      </c>
      <c r="W6" t="str">
        <f>VLOOKUP(Tabelle43[[#This Row],[Key]],'3. Unique Results'!A:X,23,FALSE)</f>
        <v>DOI.org (Crossref)</v>
      </c>
    </row>
    <row r="7" spans="1:23">
      <c r="A7" t="s">
        <v>4467</v>
      </c>
      <c r="B7" t="str">
        <f>VLOOKUP(Tabelle43[[#This Row],[Key]],'3. Unique Results'!A:X,2,FALSE)</f>
        <v>conferencePaper</v>
      </c>
      <c r="C7">
        <f>VLOOKUP(Tabelle43[[#This Row],[Key]],'3. Unique Results'!A:X,3,FALSE)</f>
        <v>2021</v>
      </c>
      <c r="D7" t="str">
        <f>VLOOKUP(Tabelle43[[#This Row],[Key]],'3. Unique Results'!A:X,4,FALSE)</f>
        <v>Burgueño, Loli; Burdusel, Alexandru; Gérard, Sébastien; Wimmer, Manuel</v>
      </c>
      <c r="E7" t="str">
        <f>VLOOKUP(Tabelle43[[#This Row],[Key]],'3. Unique Results'!A:X,5,FALSE)</f>
        <v>MDE Intelligence 2019: 1st Workshop on Artificial Intelligence and Model-Driven Engineering</v>
      </c>
      <c r="F7" t="str">
        <f>VLOOKUP(Tabelle43[[#This Row],[Key]],'3. Unique Results'!A:X,6,FALSE)</f>
        <v>Proceedings of the 22nd International Conference on Model Driven Engineering Languages and Systems</v>
      </c>
      <c r="G7" t="str">
        <f>VLOOKUP(Tabelle43[[#This Row],[Key]],'3. Unique Results'!A:X,7,FALSE)</f>
        <v>978-1-72815-125-0</v>
      </c>
      <c r="H7" t="str">
        <f>VLOOKUP(Tabelle43[[#This Row],[Key]],'3. Unique Results'!A:X,8,FALSE)</f>
        <v/>
      </c>
      <c r="I7" t="str">
        <f>VLOOKUP(Tabelle43[[#This Row],[Key]],'3. Unique Results'!A:X,9,FALSE)</f>
        <v>10.1109/MODELS-C.2019.00028</v>
      </c>
      <c r="J7" t="str">
        <f>VLOOKUP(Tabelle43[[#This Row],[Key]],'3. Unique Results'!A:X,10,FALSE)</f>
        <v>https://doi.org/10.1109/MODELS-C.2019.00028</v>
      </c>
      <c r="K7" t="str">
        <f>VLOOKUP(Tabelle43[[#This Row],[Key]],'3. Unique Results'!A:X,11,FALSE)</f>
        <v>2021</v>
      </c>
      <c r="L7">
        <f>VLOOKUP(Tabelle43[[#This Row],[Key]],'3. Unique Results'!A:X,12,FALSE)</f>
        <v>44887.363807870373</v>
      </c>
      <c r="M7" s="17">
        <f>VLOOKUP(Tabelle43[[#This Row],[Key]],'3. Unique Results'!A:X,13,FALSE)</f>
        <v>44887.363807870373</v>
      </c>
      <c r="N7" s="17">
        <f>VLOOKUP(Tabelle43[[#This Row],[Key]],'3. Unique Results'!A:X,14,FALSE)</f>
        <v>0</v>
      </c>
      <c r="O7" t="str">
        <f>VLOOKUP(Tabelle43[[#This Row],[Key]],'3. Unique Results'!A:X,15,FALSE)</f>
        <v>168–169</v>
      </c>
      <c r="P7" t="str">
        <f>VLOOKUP(Tabelle43[[#This Row],[Key]],'3. Unique Results'!A:X,16,FALSE)</f>
        <v/>
      </c>
      <c r="Q7" t="str">
        <f>VLOOKUP(Tabelle43[[#This Row],[Key]],'3. Unique Results'!A:X,17,FALSE)</f>
        <v/>
      </c>
      <c r="R7" t="str">
        <f>VLOOKUP(Tabelle43[[#This Row],[Key]],'3. Unique Results'!A:X,18,FALSE)</f>
        <v/>
      </c>
      <c r="S7" t="str">
        <f>VLOOKUP(Tabelle43[[#This Row],[Key]],'3. Unique Results'!A:X,19,FALSE)</f>
        <v/>
      </c>
      <c r="T7" t="str">
        <f>VLOOKUP(Tabelle43[[#This Row],[Key]],'3. Unique Results'!A:X,20,FALSE)</f>
        <v>IEEE Press</v>
      </c>
      <c r="U7" t="str">
        <f>VLOOKUP(Tabelle43[[#This Row],[Key]],'3. Unique Results'!A:X,21,FALSE)</f>
        <v/>
      </c>
      <c r="V7" t="str">
        <f>VLOOKUP(Tabelle43[[#This Row],[Key]],'3. Unique Results'!A:X,22,FALSE)</f>
        <v/>
      </c>
      <c r="W7" t="str">
        <f>VLOOKUP(Tabelle43[[#This Row],[Key]],'3. Unique Results'!A:X,23,FALSE)</f>
        <v/>
      </c>
    </row>
    <row r="8" spans="1:23">
      <c r="A8" t="s">
        <v>4463</v>
      </c>
      <c r="B8" t="str">
        <f>VLOOKUP(Tabelle43[[#This Row],[Key]],'3. Unique Results'!A:X,2,FALSE)</f>
        <v>journalArticle</v>
      </c>
      <c r="C8">
        <f>VLOOKUP(Tabelle43[[#This Row],[Key]],'3. Unique Results'!A:X,3,FALSE)</f>
        <v>2021</v>
      </c>
      <c r="D8" t="str">
        <f>VLOOKUP(Tabelle43[[#This Row],[Key]],'3. Unique Results'!A:X,4,FALSE)</f>
        <v>Burgueño, Loli; Kessentini, Marouane; Wimmer, Manuel; Zschaler, Steffen</v>
      </c>
      <c r="E8" t="str">
        <f>VLOOKUP(Tabelle43[[#This Row],[Key]],'3. Unique Results'!A:X,5,FALSE)</f>
        <v>MDE Intelligence 2021: 3rd Workshop on Artificial Intelligence and Model-Driven Engineering</v>
      </c>
      <c r="F8" t="str">
        <f>VLOOKUP(Tabelle43[[#This Row],[Key]],'3. Unique Results'!A:X,6,FALSE)</f>
        <v>2021 ACM/IEEE International Conference on Model Driven Engineering Languages and Systems Companion (MODELS-C)</v>
      </c>
      <c r="G8" t="str">
        <f>VLOOKUP(Tabelle43[[#This Row],[Key]],'3. Unique Results'!A:X,7,FALSE)</f>
        <v/>
      </c>
      <c r="H8" t="str">
        <f>VLOOKUP(Tabelle43[[#This Row],[Key]],'3. Unique Results'!A:X,8,FALSE)</f>
        <v/>
      </c>
      <c r="I8" t="str">
        <f>VLOOKUP(Tabelle43[[#This Row],[Key]],'3. Unique Results'!A:X,9,FALSE)</f>
        <v>10.1109/MODELS-C53483.2021.00026</v>
      </c>
      <c r="J8" t="str">
        <f>VLOOKUP(Tabelle43[[#This Row],[Key]],'3. Unique Results'!A:X,10,FALSE)</f>
        <v/>
      </c>
      <c r="K8" t="str">
        <f>VLOOKUP(Tabelle43[[#This Row],[Key]],'3. Unique Results'!A:X,11,FALSE)</f>
        <v>2021</v>
      </c>
      <c r="L8">
        <f>VLOOKUP(Tabelle43[[#This Row],[Key]],'3. Unique Results'!A:X,12,FALSE)</f>
        <v>44887.363807870373</v>
      </c>
      <c r="M8" s="17">
        <f>VLOOKUP(Tabelle43[[#This Row],[Key]],'3. Unique Results'!A:X,13,FALSE)</f>
        <v>44887.363807870373</v>
      </c>
      <c r="N8" s="17">
        <f>VLOOKUP(Tabelle43[[#This Row],[Key]],'3. Unique Results'!A:X,14,FALSE)</f>
        <v>0</v>
      </c>
      <c r="O8" t="str">
        <f>VLOOKUP(Tabelle43[[#This Row],[Key]],'3. Unique Results'!A:X,15,FALSE)</f>
        <v>148-149</v>
      </c>
      <c r="P8" t="str">
        <f>VLOOKUP(Tabelle43[[#This Row],[Key]],'3. Unique Results'!A:X,16,FALSE)</f>
        <v/>
      </c>
      <c r="Q8" t="str">
        <f>VLOOKUP(Tabelle43[[#This Row],[Key]],'3. Unique Results'!A:X,17,FALSE)</f>
        <v/>
      </c>
      <c r="R8" t="str">
        <f>VLOOKUP(Tabelle43[[#This Row],[Key]],'3. Unique Results'!A:X,18,FALSE)</f>
        <v/>
      </c>
      <c r="S8" t="str">
        <f>VLOOKUP(Tabelle43[[#This Row],[Key]],'3. Unique Results'!A:X,19,FALSE)</f>
        <v/>
      </c>
      <c r="T8" t="str">
        <f>VLOOKUP(Tabelle43[[#This Row],[Key]],'3. Unique Results'!A:X,20,FALSE)</f>
        <v/>
      </c>
      <c r="U8" t="str">
        <f>VLOOKUP(Tabelle43[[#This Row],[Key]],'3. Unique Results'!A:X,21,FALSE)</f>
        <v/>
      </c>
      <c r="V8" t="str">
        <f>VLOOKUP(Tabelle43[[#This Row],[Key]],'3. Unique Results'!A:X,22,FALSE)</f>
        <v/>
      </c>
      <c r="W8" t="str">
        <f>VLOOKUP(Tabelle43[[#This Row],[Key]],'3. Unique Results'!A:X,23,FALSE)</f>
        <v/>
      </c>
    </row>
    <row r="9" spans="1:23">
      <c r="A9" t="s">
        <v>4460</v>
      </c>
      <c r="B9" t="str">
        <f>VLOOKUP(Tabelle43[[#This Row],[Key]],'3. Unique Results'!A:X,2,FALSE)</f>
        <v>conferencePaper</v>
      </c>
      <c r="C9">
        <f>VLOOKUP(Tabelle43[[#This Row],[Key]],'3. Unique Results'!A:X,3,FALSE)</f>
        <v>2022</v>
      </c>
      <c r="D9" t="str">
        <f>VLOOKUP(Tabelle43[[#This Row],[Key]],'3. Unique Results'!A:X,4,FALSE)</f>
        <v>Burnay, Corentin; Giunta, Benito</v>
      </c>
      <c r="E9" t="str">
        <f>VLOOKUP(Tabelle43[[#This Row],[Key]],'3. Unique Results'!A:X,5,FALSE)</f>
        <v>Towards Integrated Model-Driven Engineering Approach to Business Intelligence</v>
      </c>
      <c r="F9" t="str">
        <f>VLOOKUP(Tabelle43[[#This Row],[Key]],'3. Unique Results'!A:X,6,FALSE)</f>
        <v>Research Challenges in Information Science</v>
      </c>
      <c r="G9" t="str">
        <f>VLOOKUP(Tabelle43[[#This Row],[Key]],'3. Unique Results'!A:X,7,FALSE)</f>
        <v>978-3-031-05759-5 978-3-031-05760-1</v>
      </c>
      <c r="H9" t="str">
        <f>VLOOKUP(Tabelle43[[#This Row],[Key]],'3. Unique Results'!A:X,8,FALSE)</f>
        <v/>
      </c>
      <c r="I9" t="str">
        <f>VLOOKUP(Tabelle43[[#This Row],[Key]],'3. Unique Results'!A:X,9,FALSE)</f>
        <v/>
      </c>
      <c r="J9" t="str">
        <f>VLOOKUP(Tabelle43[[#This Row],[Key]],'3. Unique Results'!A:X,10,FALSE)</f>
        <v>https://link.springer.com/10.1007/978-3-031-05760-1_38</v>
      </c>
      <c r="K9" t="str">
        <f>VLOOKUP(Tabelle43[[#This Row],[Key]],'3. Unique Results'!A:X,11,FALSE)</f>
        <v>2022</v>
      </c>
      <c r="L9">
        <f>VLOOKUP(Tabelle43[[#This Row],[Key]],'3. Unique Results'!A:X,12,FALSE)</f>
        <v>44887.363807870373</v>
      </c>
      <c r="M9" s="17">
        <f>VLOOKUP(Tabelle43[[#This Row],[Key]],'3. Unique Results'!A:X,13,FALSE)</f>
        <v>44887.363807870373</v>
      </c>
      <c r="N9" s="17">
        <f>VLOOKUP(Tabelle43[[#This Row],[Key]],'3. Unique Results'!A:X,14,FALSE)</f>
        <v>44886.598391203705</v>
      </c>
      <c r="O9" t="str">
        <f>VLOOKUP(Tabelle43[[#This Row],[Key]],'3. Unique Results'!A:X,15,FALSE)</f>
        <v>635-643</v>
      </c>
      <c r="P9" t="str">
        <f>VLOOKUP(Tabelle43[[#This Row],[Key]],'3. Unique Results'!A:X,16,FALSE)</f>
        <v/>
      </c>
      <c r="Q9" t="str">
        <f>VLOOKUP(Tabelle43[[#This Row],[Key]],'3. Unique Results'!A:X,17,FALSE)</f>
        <v>446</v>
      </c>
      <c r="R9" t="str">
        <f>VLOOKUP(Tabelle43[[#This Row],[Key]],'3. Unique Results'!A:X,18,FALSE)</f>
        <v/>
      </c>
      <c r="S9" t="str">
        <f>VLOOKUP(Tabelle43[[#This Row],[Key]],'3. Unique Results'!A:X,19,FALSE)</f>
        <v/>
      </c>
      <c r="T9" t="str">
        <f>VLOOKUP(Tabelle43[[#This Row],[Key]],'3. Unique Results'!A:X,20,FALSE)</f>
        <v>Springer International Publishing</v>
      </c>
      <c r="U9" t="str">
        <f>VLOOKUP(Tabelle43[[#This Row],[Key]],'3. Unique Results'!A:X,21,FALSE)</f>
        <v>Cham</v>
      </c>
      <c r="V9" t="str">
        <f>VLOOKUP(Tabelle43[[#This Row],[Key]],'3. Unique Results'!A:X,22,FALSE)</f>
        <v>en</v>
      </c>
      <c r="W9" t="str">
        <f>VLOOKUP(Tabelle43[[#This Row],[Key]],'3. Unique Results'!A:X,23,FALSE)</f>
        <v>DOI.org (Crossref)</v>
      </c>
    </row>
    <row r="10" spans="1:23">
      <c r="A10" t="s">
        <v>4436</v>
      </c>
      <c r="B10" t="str">
        <f>VLOOKUP(Tabelle43[[#This Row],[Key]],'3. Unique Results'!A:X,2,FALSE)</f>
        <v>conferencePaper</v>
      </c>
      <c r="C10">
        <f>VLOOKUP(Tabelle43[[#This Row],[Key]],'3. Unique Results'!A:X,3,FALSE)</f>
        <v>2011</v>
      </c>
      <c r="D10" t="str">
        <f>VLOOKUP(Tabelle43[[#This Row],[Key]],'3. Unique Results'!A:X,4,FALSE)</f>
        <v>Chafi, Hassan; Sujeeth, Arvind K.; Brown, Kevin J.; Lee, HyoukJoong; Atreya, Anand R.; Olukotun, Kunle</v>
      </c>
      <c r="E10" t="str">
        <f>VLOOKUP(Tabelle43[[#This Row],[Key]],'3. Unique Results'!A:X,5,FALSE)</f>
        <v>A Domain-Specific Approach to Heterogeneous Parallelism</v>
      </c>
      <c r="F10" t="str">
        <f>VLOOKUP(Tabelle43[[#This Row],[Key]],'3. Unique Results'!A:X,6,FALSE)</f>
        <v>Proceedings of the 16th ACM Symposium on Principles and Practice of Parallel Programming</v>
      </c>
      <c r="G10" t="str">
        <f>VLOOKUP(Tabelle43[[#This Row],[Key]],'3. Unique Results'!A:X,7,FALSE)</f>
        <v>978-1-4503-0119-0</v>
      </c>
      <c r="H10" t="str">
        <f>VLOOKUP(Tabelle43[[#This Row],[Key]],'3. Unique Results'!A:X,8,FALSE)</f>
        <v/>
      </c>
      <c r="I10" t="str">
        <f>VLOOKUP(Tabelle43[[#This Row],[Key]],'3. Unique Results'!A:X,9,FALSE)</f>
        <v>10.1145/1941553.1941561</v>
      </c>
      <c r="J10" t="str">
        <f>VLOOKUP(Tabelle43[[#This Row],[Key]],'3. Unique Results'!A:X,10,FALSE)</f>
        <v>https://doi.org/10.1145/1941553.1941561</v>
      </c>
      <c r="K10" t="str">
        <f>VLOOKUP(Tabelle43[[#This Row],[Key]],'3. Unique Results'!A:X,11,FALSE)</f>
        <v>2011</v>
      </c>
      <c r="L10">
        <f>VLOOKUP(Tabelle43[[#This Row],[Key]],'3. Unique Results'!A:X,12,FALSE)</f>
        <v>44887.363807870373</v>
      </c>
      <c r="M10" s="17">
        <f>VLOOKUP(Tabelle43[[#This Row],[Key]],'3. Unique Results'!A:X,13,FALSE)</f>
        <v>44887.363807870373</v>
      </c>
      <c r="N10" s="17">
        <f>VLOOKUP(Tabelle43[[#This Row],[Key]],'3. Unique Results'!A:X,14,FALSE)</f>
        <v>0</v>
      </c>
      <c r="O10" t="str">
        <f>VLOOKUP(Tabelle43[[#This Row],[Key]],'3. Unique Results'!A:X,15,FALSE)</f>
        <v>35–46</v>
      </c>
      <c r="P10" t="str">
        <f>VLOOKUP(Tabelle43[[#This Row],[Key]],'3. Unique Results'!A:X,16,FALSE)</f>
        <v/>
      </c>
      <c r="Q10" t="str">
        <f>VLOOKUP(Tabelle43[[#This Row],[Key]],'3. Unique Results'!A:X,17,FALSE)</f>
        <v/>
      </c>
      <c r="R10" t="str">
        <f>VLOOKUP(Tabelle43[[#This Row],[Key]],'3. Unique Results'!A:X,18,FALSE)</f>
        <v/>
      </c>
      <c r="S10" t="str">
        <f>VLOOKUP(Tabelle43[[#This Row],[Key]],'3. Unique Results'!A:X,19,FALSE)</f>
        <v/>
      </c>
      <c r="T10" t="str">
        <f>VLOOKUP(Tabelle43[[#This Row],[Key]],'3. Unique Results'!A:X,20,FALSE)</f>
        <v>Association for Computing Machinery</v>
      </c>
      <c r="U10" t="str">
        <f>VLOOKUP(Tabelle43[[#This Row],[Key]],'3. Unique Results'!A:X,21,FALSE)</f>
        <v>New York, NY, USA</v>
      </c>
      <c r="V10" t="str">
        <f>VLOOKUP(Tabelle43[[#This Row],[Key]],'3. Unique Results'!A:X,22,FALSE)</f>
        <v/>
      </c>
      <c r="W10" t="str">
        <f>VLOOKUP(Tabelle43[[#This Row],[Key]],'3. Unique Results'!A:X,23,FALSE)</f>
        <v/>
      </c>
    </row>
    <row r="11" spans="1:23">
      <c r="A11" t="s">
        <v>4433</v>
      </c>
      <c r="B11" t="str">
        <f>VLOOKUP(Tabelle43[[#This Row],[Key]],'3. Unique Results'!A:X,2,FALSE)</f>
        <v>conferencePaper</v>
      </c>
      <c r="C11">
        <f>VLOOKUP(Tabelle43[[#This Row],[Key]],'3. Unique Results'!A:X,3,FALSE)</f>
        <v>2017</v>
      </c>
      <c r="D11" t="str">
        <f>VLOOKUP(Tabelle43[[#This Row],[Key]],'3. Unique Results'!A:X,4,FALSE)</f>
        <v>Dethlefs, Nina; Hawick, Ken</v>
      </c>
      <c r="E11" t="str">
        <f>VLOOKUP(Tabelle43[[#This Row],[Key]],'3. Unique Results'!A:X,5,FALSE)</f>
        <v>DEFIne: A Fluent Interface DSL for Deep Learning Applications</v>
      </c>
      <c r="F11" t="str">
        <f>VLOOKUP(Tabelle43[[#This Row],[Key]],'3. Unique Results'!A:X,6,FALSE)</f>
        <v>Proceedings of the 2nd International Workshop on Real World Domain Specific Languages</v>
      </c>
      <c r="G11" t="str">
        <f>VLOOKUP(Tabelle43[[#This Row],[Key]],'3. Unique Results'!A:X,7,FALSE)</f>
        <v>978-1-4503-4845-4</v>
      </c>
      <c r="H11" t="str">
        <f>VLOOKUP(Tabelle43[[#This Row],[Key]],'3. Unique Results'!A:X,8,FALSE)</f>
        <v/>
      </c>
      <c r="I11" t="str">
        <f>VLOOKUP(Tabelle43[[#This Row],[Key]],'3. Unique Results'!A:X,9,FALSE)</f>
        <v>10.1145/3039895.3039898</v>
      </c>
      <c r="J11" t="str">
        <f>VLOOKUP(Tabelle43[[#This Row],[Key]],'3. Unique Results'!A:X,10,FALSE)</f>
        <v>https://doi.org/10.1145/3039895.3039898</v>
      </c>
      <c r="K11" t="str">
        <f>VLOOKUP(Tabelle43[[#This Row],[Key]],'3. Unique Results'!A:X,11,FALSE)</f>
        <v>2017</v>
      </c>
      <c r="L11">
        <f>VLOOKUP(Tabelle43[[#This Row],[Key]],'3. Unique Results'!A:X,12,FALSE)</f>
        <v>44887.363807870373</v>
      </c>
      <c r="M11" s="17">
        <f>VLOOKUP(Tabelle43[[#This Row],[Key]],'3. Unique Results'!A:X,13,FALSE)</f>
        <v>44887.411307870374</v>
      </c>
      <c r="N11" s="17">
        <f>VLOOKUP(Tabelle43[[#This Row],[Key]],'3. Unique Results'!A:X,14,FALSE)</f>
        <v>0</v>
      </c>
      <c r="O11" t="str">
        <f>VLOOKUP(Tabelle43[[#This Row],[Key]],'3. Unique Results'!A:X,15,FALSE)</f>
        <v/>
      </c>
      <c r="P11" t="str">
        <f>VLOOKUP(Tabelle43[[#This Row],[Key]],'3. Unique Results'!A:X,16,FALSE)</f>
        <v/>
      </c>
      <c r="Q11" t="str">
        <f>VLOOKUP(Tabelle43[[#This Row],[Key]],'3. Unique Results'!A:X,17,FALSE)</f>
        <v/>
      </c>
      <c r="R11" t="str">
        <f>VLOOKUP(Tabelle43[[#This Row],[Key]],'3. Unique Results'!A:X,18,FALSE)</f>
        <v/>
      </c>
      <c r="S11" t="str">
        <f>VLOOKUP(Tabelle43[[#This Row],[Key]],'3. Unique Results'!A:X,19,FALSE)</f>
        <v/>
      </c>
      <c r="T11" t="str">
        <f>VLOOKUP(Tabelle43[[#This Row],[Key]],'3. Unique Results'!A:X,20,FALSE)</f>
        <v>Association for Computing Machinery</v>
      </c>
      <c r="U11" t="str">
        <f>VLOOKUP(Tabelle43[[#This Row],[Key]],'3. Unique Results'!A:X,21,FALSE)</f>
        <v>New York, NY, USA</v>
      </c>
      <c r="V11" t="str">
        <f>VLOOKUP(Tabelle43[[#This Row],[Key]],'3. Unique Results'!A:X,22,FALSE)</f>
        <v/>
      </c>
      <c r="W11" t="str">
        <f>VLOOKUP(Tabelle43[[#This Row],[Key]],'3. Unique Results'!A:X,23,FALSE)</f>
        <v/>
      </c>
    </row>
    <row r="12" spans="1:23">
      <c r="A12" t="s">
        <v>4442</v>
      </c>
      <c r="B12" t="str">
        <f>VLOOKUP(Tabelle43[[#This Row],[Key]],'3. Unique Results'!A:X,2,FALSE)</f>
        <v>conferencePaper</v>
      </c>
      <c r="C12">
        <f>VLOOKUP(Tabelle43[[#This Row],[Key]],'3. Unique Results'!A:X,3,FALSE)</f>
        <v>2021</v>
      </c>
      <c r="D12" t="str">
        <f>VLOOKUP(Tabelle43[[#This Row],[Key]],'3. Unique Results'!A:X,4,FALSE)</f>
        <v>Eramo, Romina; Muttillo, Vittoriano; Berardinelli, Luca; Bruneliere, Hugo; Gomez, Abel; Bagnato, Alessandra; Sadovykh, Andrey; Cicchetti, Antonio</v>
      </c>
      <c r="E12" t="str">
        <f>VLOOKUP(Tabelle43[[#This Row],[Key]],'3. Unique Results'!A:X,5,FALSE)</f>
        <v>AIDOaRt: AI-augmented Automation for DevOps, a Model-based Framework for Continuous Development in Cyber-Physical Systems</v>
      </c>
      <c r="F12" t="str">
        <f>VLOOKUP(Tabelle43[[#This Row],[Key]],'3. Unique Results'!A:X,6,FALSE)</f>
        <v>2021 24th Euromicro Conference on Digital System Design (DSD)</v>
      </c>
      <c r="G12" t="str">
        <f>VLOOKUP(Tabelle43[[#This Row],[Key]],'3. Unique Results'!A:X,7,FALSE)</f>
        <v/>
      </c>
      <c r="H12" t="str">
        <f>VLOOKUP(Tabelle43[[#This Row],[Key]],'3. Unique Results'!A:X,8,FALSE)</f>
        <v/>
      </c>
      <c r="I12" t="str">
        <f>VLOOKUP(Tabelle43[[#This Row],[Key]],'3. Unique Results'!A:X,9,FALSE)</f>
        <v>10.1109/DSD53832.2021.00053</v>
      </c>
      <c r="J12" t="str">
        <f>VLOOKUP(Tabelle43[[#This Row],[Key]],'3. Unique Results'!A:X,10,FALSE)</f>
        <v/>
      </c>
      <c r="K12" t="str">
        <f>VLOOKUP(Tabelle43[[#This Row],[Key]],'3. Unique Results'!A:X,11,FALSE)</f>
        <v>2021</v>
      </c>
      <c r="L12">
        <f>VLOOKUP(Tabelle43[[#This Row],[Key]],'3. Unique Results'!A:X,12,FALSE)</f>
        <v>44887.363807870373</v>
      </c>
      <c r="M12" s="17">
        <f>VLOOKUP(Tabelle43[[#This Row],[Key]],'3. Unique Results'!A:X,13,FALSE)</f>
        <v>44887.363807870373</v>
      </c>
      <c r="N12" s="17">
        <f>VLOOKUP(Tabelle43[[#This Row],[Key]],'3. Unique Results'!A:X,14,FALSE)</f>
        <v>0</v>
      </c>
      <c r="O12" t="str">
        <f>VLOOKUP(Tabelle43[[#This Row],[Key]],'3. Unique Results'!A:X,15,FALSE)</f>
        <v>303-310</v>
      </c>
      <c r="P12" t="str">
        <f>VLOOKUP(Tabelle43[[#This Row],[Key]],'3. Unique Results'!A:X,16,FALSE)</f>
        <v/>
      </c>
      <c r="Q12" t="str">
        <f>VLOOKUP(Tabelle43[[#This Row],[Key]],'3. Unique Results'!A:X,17,FALSE)</f>
        <v/>
      </c>
      <c r="R12" t="str">
        <f>VLOOKUP(Tabelle43[[#This Row],[Key]],'3. Unique Results'!A:X,18,FALSE)</f>
        <v/>
      </c>
      <c r="S12" t="str">
        <f>VLOOKUP(Tabelle43[[#This Row],[Key]],'3. Unique Results'!A:X,19,FALSE)</f>
        <v/>
      </c>
      <c r="T12" t="str">
        <f>VLOOKUP(Tabelle43[[#This Row],[Key]],'3. Unique Results'!A:X,20,FALSE)</f>
        <v/>
      </c>
      <c r="U12" t="str">
        <f>VLOOKUP(Tabelle43[[#This Row],[Key]],'3. Unique Results'!A:X,21,FALSE)</f>
        <v/>
      </c>
      <c r="V12" t="str">
        <f>VLOOKUP(Tabelle43[[#This Row],[Key]],'3. Unique Results'!A:X,22,FALSE)</f>
        <v/>
      </c>
      <c r="W12" t="str">
        <f>VLOOKUP(Tabelle43[[#This Row],[Key]],'3. Unique Results'!A:X,23,FALSE)</f>
        <v/>
      </c>
    </row>
    <row r="13" spans="1:23">
      <c r="A13" t="s">
        <v>4445</v>
      </c>
      <c r="B13" t="str">
        <f>VLOOKUP(Tabelle43[[#This Row],[Key]],'3. Unique Results'!A:X,2,FALSE)</f>
        <v>journalArticle</v>
      </c>
      <c r="C13">
        <f>VLOOKUP(Tabelle43[[#This Row],[Key]],'3. Unique Results'!A:X,3,FALSE)</f>
        <v>2022</v>
      </c>
      <c r="D13" t="str">
        <f>VLOOKUP(Tabelle43[[#This Row],[Key]],'3. Unique Results'!A:X,4,FALSE)</f>
        <v>Giner-Miguelez, J.; Gómez, A.; Cabot, J.</v>
      </c>
      <c r="E13" t="str">
        <f>VLOOKUP(Tabelle43[[#This Row],[Key]],'3. Unique Results'!A:X,5,FALSE)</f>
        <v>A domain-specific language for describing machine learning dataset</v>
      </c>
      <c r="F13" t="str">
        <f>VLOOKUP(Tabelle43[[#This Row],[Key]],'3. Unique Results'!A:X,6,FALSE)</f>
        <v>arXiv preprint arXiv:2207.02848</v>
      </c>
      <c r="G13" t="str">
        <f>VLOOKUP(Tabelle43[[#This Row],[Key]],'3. Unique Results'!A:X,7,FALSE)</f>
        <v/>
      </c>
      <c r="H13" t="str">
        <f>VLOOKUP(Tabelle43[[#This Row],[Key]],'3. Unique Results'!A:X,8,FALSE)</f>
        <v/>
      </c>
      <c r="I13" t="str">
        <f>VLOOKUP(Tabelle43[[#This Row],[Key]],'3. Unique Results'!A:X,9,FALSE)</f>
        <v/>
      </c>
      <c r="J13" t="str">
        <f>VLOOKUP(Tabelle43[[#This Row],[Key]],'3. Unique Results'!A:X,10,FALSE)</f>
        <v>https://arxiv.org/abs/2207.02848</v>
      </c>
      <c r="K13" t="str">
        <f>VLOOKUP(Tabelle43[[#This Row],[Key]],'3. Unique Results'!A:X,11,FALSE)</f>
        <v>2022</v>
      </c>
      <c r="L13">
        <f>VLOOKUP(Tabelle43[[#This Row],[Key]],'3. Unique Results'!A:X,12,FALSE)</f>
        <v>44887.363807870373</v>
      </c>
      <c r="M13" s="17">
        <f>VLOOKUP(Tabelle43[[#This Row],[Key]],'3. Unique Results'!A:X,13,FALSE)</f>
        <v>44887.363807870373</v>
      </c>
      <c r="N13" s="17">
        <f>VLOOKUP(Tabelle43[[#This Row],[Key]],'3. Unique Results'!A:X,14,FALSE)</f>
        <v>0</v>
      </c>
      <c r="O13" t="str">
        <f>VLOOKUP(Tabelle43[[#This Row],[Key]],'3. Unique Results'!A:X,15,FALSE)</f>
        <v/>
      </c>
      <c r="P13" t="str">
        <f>VLOOKUP(Tabelle43[[#This Row],[Key]],'3. Unique Results'!A:X,16,FALSE)</f>
        <v/>
      </c>
      <c r="Q13" t="str">
        <f>VLOOKUP(Tabelle43[[#This Row],[Key]],'3. Unique Results'!A:X,17,FALSE)</f>
        <v/>
      </c>
      <c r="R13" t="str">
        <f>VLOOKUP(Tabelle43[[#This Row],[Key]],'3. Unique Results'!A:X,18,FALSE)</f>
        <v/>
      </c>
      <c r="S13" t="str">
        <f>VLOOKUP(Tabelle43[[#This Row],[Key]],'3. Unique Results'!A:X,19,FALSE)</f>
        <v/>
      </c>
      <c r="T13" t="str">
        <f>VLOOKUP(Tabelle43[[#This Row],[Key]],'3. Unique Results'!A:X,20,FALSE)</f>
        <v/>
      </c>
      <c r="U13" t="str">
        <f>VLOOKUP(Tabelle43[[#This Row],[Key]],'3. Unique Results'!A:X,21,FALSE)</f>
        <v/>
      </c>
      <c r="V13" t="str">
        <f>VLOOKUP(Tabelle43[[#This Row],[Key]],'3. Unique Results'!A:X,22,FALSE)</f>
        <v/>
      </c>
      <c r="W13" t="str">
        <f>VLOOKUP(Tabelle43[[#This Row],[Key]],'3. Unique Results'!A:X,23,FALSE)</f>
        <v/>
      </c>
    </row>
    <row r="14" spans="1:23">
      <c r="A14" t="s">
        <v>4465</v>
      </c>
      <c r="B14" t="str">
        <f>VLOOKUP(Tabelle43[[#This Row],[Key]],'3. Unique Results'!A:X,2,FALSE)</f>
        <v>conferencePaper</v>
      </c>
      <c r="C14">
        <f>VLOOKUP(Tabelle43[[#This Row],[Key]],'3. Unique Results'!A:X,3,FALSE)</f>
        <v>2017</v>
      </c>
      <c r="D14" t="str">
        <f>VLOOKUP(Tabelle43[[#This Row],[Key]],'3. Unique Results'!A:X,4,FALSE)</f>
        <v>Hartmann, Thomas; Moawad, Assaad; Fouquet, Francois; Traon, Yves Le</v>
      </c>
      <c r="E14" t="str">
        <f>VLOOKUP(Tabelle43[[#This Row],[Key]],'3. Unique Results'!A:X,5,FALSE)</f>
        <v>The next Evolution of MDE: A Seamless Integration of Machine Learning into Domain Modeling</v>
      </c>
      <c r="F14" t="str">
        <f>VLOOKUP(Tabelle43[[#This Row],[Key]],'3. Unique Results'!A:X,6,FALSE)</f>
        <v>Proceedings of the ACM/IEEE 20th International Conference on Model Driven Engineering Languages and Systems</v>
      </c>
      <c r="G14" t="str">
        <f>VLOOKUP(Tabelle43[[#This Row],[Key]],'3. Unique Results'!A:X,7,FALSE)</f>
        <v>978-1-5386-3492-9</v>
      </c>
      <c r="H14" t="str">
        <f>VLOOKUP(Tabelle43[[#This Row],[Key]],'3. Unique Results'!A:X,8,FALSE)</f>
        <v/>
      </c>
      <c r="I14" t="str">
        <f>VLOOKUP(Tabelle43[[#This Row],[Key]],'3. Unique Results'!A:X,9,FALSE)</f>
        <v>10.1109/MODELS.2017.32</v>
      </c>
      <c r="J14" t="str">
        <f>VLOOKUP(Tabelle43[[#This Row],[Key]],'3. Unique Results'!A:X,10,FALSE)</f>
        <v>https://doi.org/10.1109/MODELS.2017.32</v>
      </c>
      <c r="K14" t="str">
        <f>VLOOKUP(Tabelle43[[#This Row],[Key]],'3. Unique Results'!A:X,11,FALSE)</f>
        <v>2017</v>
      </c>
      <c r="L14">
        <f>VLOOKUP(Tabelle43[[#This Row],[Key]],'3. Unique Results'!A:X,12,FALSE)</f>
        <v>44887.363807870373</v>
      </c>
      <c r="M14" s="17">
        <f>VLOOKUP(Tabelle43[[#This Row],[Key]],'3. Unique Results'!A:X,13,FALSE)</f>
        <v>44887.491666666669</v>
      </c>
      <c r="N14" s="17">
        <f>VLOOKUP(Tabelle43[[#This Row],[Key]],'3. Unique Results'!A:X,14,FALSE)</f>
        <v>0</v>
      </c>
      <c r="O14" t="str">
        <f>VLOOKUP(Tabelle43[[#This Row],[Key]],'3. Unique Results'!A:X,15,FALSE)</f>
        <v>180</v>
      </c>
      <c r="P14" t="str">
        <f>VLOOKUP(Tabelle43[[#This Row],[Key]],'3. Unique Results'!A:X,16,FALSE)</f>
        <v/>
      </c>
      <c r="Q14" t="str">
        <f>VLOOKUP(Tabelle43[[#This Row],[Key]],'3. Unique Results'!A:X,17,FALSE)</f>
        <v/>
      </c>
      <c r="R14" t="str">
        <f>VLOOKUP(Tabelle43[[#This Row],[Key]],'3. Unique Results'!A:X,18,FALSE)</f>
        <v/>
      </c>
      <c r="S14" t="str">
        <f>VLOOKUP(Tabelle43[[#This Row],[Key]],'3. Unique Results'!A:X,19,FALSE)</f>
        <v/>
      </c>
      <c r="T14" t="str">
        <f>VLOOKUP(Tabelle43[[#This Row],[Key]],'3. Unique Results'!A:X,20,FALSE)</f>
        <v>IEEE Press</v>
      </c>
      <c r="U14" t="str">
        <f>VLOOKUP(Tabelle43[[#This Row],[Key]],'3. Unique Results'!A:X,21,FALSE)</f>
        <v/>
      </c>
      <c r="V14" t="str">
        <f>VLOOKUP(Tabelle43[[#This Row],[Key]],'3. Unique Results'!A:X,22,FALSE)</f>
        <v/>
      </c>
      <c r="W14" t="str">
        <f>VLOOKUP(Tabelle43[[#This Row],[Key]],'3. Unique Results'!A:X,23,FALSE)</f>
        <v/>
      </c>
    </row>
    <row r="15" spans="1:23">
      <c r="A15" t="s">
        <v>4441</v>
      </c>
      <c r="B15" t="str">
        <f>VLOOKUP(Tabelle43[[#This Row],[Key]],'3. Unique Results'!A:X,2,FALSE)</f>
        <v>conferencePaper</v>
      </c>
      <c r="C15">
        <f>VLOOKUP(Tabelle43[[#This Row],[Key]],'3. Unique Results'!A:X,3,FALSE)</f>
        <v>2019</v>
      </c>
      <c r="D15" t="str">
        <f>VLOOKUP(Tabelle43[[#This Row],[Key]],'3. Unique Results'!A:X,4,FALSE)</f>
        <v>Hartmann, Thomas; Moawad, Assaad; Schockaert, Cedric; Fouquet, Francois; Le Traon, Yves</v>
      </c>
      <c r="E15" t="str">
        <f>VLOOKUP(Tabelle43[[#This Row],[Key]],'3. Unique Results'!A:X,5,FALSE)</f>
        <v>Meta-Modelling Meta-Learning</v>
      </c>
      <c r="F15" t="str">
        <f>VLOOKUP(Tabelle43[[#This Row],[Key]],'3. Unique Results'!A:X,6,FALSE)</f>
        <v>2019 ACM/IEEE 22nd International Conference on Model Driven Engineering Languages and Systems (MODELS)</v>
      </c>
      <c r="G15" t="str">
        <f>VLOOKUP(Tabelle43[[#This Row],[Key]],'3. Unique Results'!A:X,7,FALSE)</f>
        <v/>
      </c>
      <c r="H15" t="str">
        <f>VLOOKUP(Tabelle43[[#This Row],[Key]],'3. Unique Results'!A:X,8,FALSE)</f>
        <v/>
      </c>
      <c r="I15" t="str">
        <f>VLOOKUP(Tabelle43[[#This Row],[Key]],'3. Unique Results'!A:X,9,FALSE)</f>
        <v>10.1109/MODELS.2019.00014</v>
      </c>
      <c r="J15" t="str">
        <f>VLOOKUP(Tabelle43[[#This Row],[Key]],'3. Unique Results'!A:X,10,FALSE)</f>
        <v/>
      </c>
      <c r="K15" t="str">
        <f>VLOOKUP(Tabelle43[[#This Row],[Key]],'3. Unique Results'!A:X,11,FALSE)</f>
        <v>2019</v>
      </c>
      <c r="L15">
        <f>VLOOKUP(Tabelle43[[#This Row],[Key]],'3. Unique Results'!A:X,12,FALSE)</f>
        <v>44887.363807870373</v>
      </c>
      <c r="M15" s="17">
        <f>VLOOKUP(Tabelle43[[#This Row],[Key]],'3. Unique Results'!A:X,13,FALSE)</f>
        <v>44887.363807870373</v>
      </c>
      <c r="N15" s="17">
        <f>VLOOKUP(Tabelle43[[#This Row],[Key]],'3. Unique Results'!A:X,14,FALSE)</f>
        <v>0</v>
      </c>
      <c r="O15" t="str">
        <f>VLOOKUP(Tabelle43[[#This Row],[Key]],'3. Unique Results'!A:X,15,FALSE)</f>
        <v>300-305</v>
      </c>
      <c r="P15" t="str">
        <f>VLOOKUP(Tabelle43[[#This Row],[Key]],'3. Unique Results'!A:X,16,FALSE)</f>
        <v/>
      </c>
      <c r="Q15" t="str">
        <f>VLOOKUP(Tabelle43[[#This Row],[Key]],'3. Unique Results'!A:X,17,FALSE)</f>
        <v/>
      </c>
      <c r="R15" t="str">
        <f>VLOOKUP(Tabelle43[[#This Row],[Key]],'3. Unique Results'!A:X,18,FALSE)</f>
        <v/>
      </c>
      <c r="S15" t="str">
        <f>VLOOKUP(Tabelle43[[#This Row],[Key]],'3. Unique Results'!A:X,19,FALSE)</f>
        <v/>
      </c>
      <c r="T15" t="str">
        <f>VLOOKUP(Tabelle43[[#This Row],[Key]],'3. Unique Results'!A:X,20,FALSE)</f>
        <v/>
      </c>
      <c r="U15" t="str">
        <f>VLOOKUP(Tabelle43[[#This Row],[Key]],'3. Unique Results'!A:X,21,FALSE)</f>
        <v/>
      </c>
      <c r="V15" t="str">
        <f>VLOOKUP(Tabelle43[[#This Row],[Key]],'3. Unique Results'!A:X,22,FALSE)</f>
        <v/>
      </c>
      <c r="W15" t="str">
        <f>VLOOKUP(Tabelle43[[#This Row],[Key]],'3. Unique Results'!A:X,23,FALSE)</f>
        <v/>
      </c>
    </row>
    <row r="16" spans="1:23">
      <c r="A16" t="s">
        <v>4466</v>
      </c>
      <c r="B16" t="str">
        <f>VLOOKUP(Tabelle43[[#This Row],[Key]],'3. Unique Results'!A:X,2,FALSE)</f>
        <v>journalArticle</v>
      </c>
      <c r="C16">
        <f>VLOOKUP(Tabelle43[[#This Row],[Key]],'3. Unique Results'!A:X,3,FALSE)</f>
        <v>2022</v>
      </c>
      <c r="D16" t="str">
        <f>VLOOKUP(Tabelle43[[#This Row],[Key]],'3. Unique Results'!A:X,4,FALSE)</f>
        <v>Kirchhof, Jörg Christian; Kusmenko, Evgeny; Ritz, Jonas; Rumpe, Bernhard; Moin, Armin; Badii, Atta; Günnemann, Stephan; Challenger, Moharram</v>
      </c>
      <c r="E16" t="str">
        <f>VLOOKUP(Tabelle43[[#This Row],[Key]],'3. Unique Results'!A:X,5,FALSE)</f>
        <v>MDE for Machine Learning-Enabled Software Systems: A Case Study and Comparison of MontiAnna &amp;amp; ML-Quadrat</v>
      </c>
      <c r="F16" t="str">
        <f>VLOOKUP(Tabelle43[[#This Row],[Key]],'3. Unique Results'!A:X,6,FALSE)</f>
        <v>Proceedings of the 25th International Conference on Model Driven Engineering Languages and Systems: Companion Proceedings</v>
      </c>
      <c r="G16" t="str">
        <f>VLOOKUP(Tabelle43[[#This Row],[Key]],'3. Unique Results'!A:X,7,FALSE)</f>
        <v/>
      </c>
      <c r="H16" t="str">
        <f>VLOOKUP(Tabelle43[[#This Row],[Key]],'3. Unique Results'!A:X,8,FALSE)</f>
        <v/>
      </c>
      <c r="I16" t="str">
        <f>VLOOKUP(Tabelle43[[#This Row],[Key]],'3. Unique Results'!A:X,9,FALSE)</f>
        <v>10.1145/3550356.3561576</v>
      </c>
      <c r="J16" t="str">
        <f>VLOOKUP(Tabelle43[[#This Row],[Key]],'3. Unique Results'!A:X,10,FALSE)</f>
        <v>https://doi.org/10.1145/3550356.3561576</v>
      </c>
      <c r="K16" t="str">
        <f>VLOOKUP(Tabelle43[[#This Row],[Key]],'3. Unique Results'!A:X,11,FALSE)</f>
        <v>2022</v>
      </c>
      <c r="L16">
        <f>VLOOKUP(Tabelle43[[#This Row],[Key]],'3. Unique Results'!A:X,12,FALSE)</f>
        <v>44887.363807870373</v>
      </c>
      <c r="M16" s="17">
        <f>VLOOKUP(Tabelle43[[#This Row],[Key]],'3. Unique Results'!A:X,13,FALSE)</f>
        <v>44887.363807870373</v>
      </c>
      <c r="N16" s="17">
        <f>VLOOKUP(Tabelle43[[#This Row],[Key]],'3. Unique Results'!A:X,14,FALSE)</f>
        <v>0</v>
      </c>
      <c r="O16" t="str">
        <f>VLOOKUP(Tabelle43[[#This Row],[Key]],'3. Unique Results'!A:X,15,FALSE)</f>
        <v>380–387</v>
      </c>
      <c r="P16" t="str">
        <f>VLOOKUP(Tabelle43[[#This Row],[Key]],'3. Unique Results'!A:X,16,FALSE)</f>
        <v/>
      </c>
      <c r="Q16" t="str">
        <f>VLOOKUP(Tabelle43[[#This Row],[Key]],'3. Unique Results'!A:X,17,FALSE)</f>
        <v/>
      </c>
      <c r="R16" t="str">
        <f>VLOOKUP(Tabelle43[[#This Row],[Key]],'3. Unique Results'!A:X,18,FALSE)</f>
        <v/>
      </c>
      <c r="S16" t="str">
        <f>VLOOKUP(Tabelle43[[#This Row],[Key]],'3. Unique Results'!A:X,19,FALSE)</f>
        <v/>
      </c>
      <c r="T16" t="str">
        <f>VLOOKUP(Tabelle43[[#This Row],[Key]],'3. Unique Results'!A:X,20,FALSE)</f>
        <v/>
      </c>
      <c r="U16" t="str">
        <f>VLOOKUP(Tabelle43[[#This Row],[Key]],'3. Unique Results'!A:X,21,FALSE)</f>
        <v/>
      </c>
      <c r="V16" t="str">
        <f>VLOOKUP(Tabelle43[[#This Row],[Key]],'3. Unique Results'!A:X,22,FALSE)</f>
        <v/>
      </c>
      <c r="W16" t="str">
        <f>VLOOKUP(Tabelle43[[#This Row],[Key]],'3. Unique Results'!A:X,23,FALSE)</f>
        <v/>
      </c>
    </row>
    <row r="17" spans="1:23">
      <c r="A17" t="s">
        <v>4461</v>
      </c>
      <c r="B17" t="str">
        <f>VLOOKUP(Tabelle43[[#This Row],[Key]],'3. Unique Results'!A:X,2,FALSE)</f>
        <v>conferencePaper</v>
      </c>
      <c r="C17">
        <f>VLOOKUP(Tabelle43[[#This Row],[Key]],'3. Unique Results'!A:X,3,FALSE)</f>
        <v>2019</v>
      </c>
      <c r="D17" t="str">
        <f>VLOOKUP(Tabelle43[[#This Row],[Key]],'3. Unique Results'!A:X,4,FALSE)</f>
        <v>Koseler, Kaan; McGraw, Kelsea; Stephan, Matthew</v>
      </c>
      <c r="E17" t="str">
        <f>VLOOKUP(Tabelle43[[#This Row],[Key]],'3. Unique Results'!A:X,5,FALSE)</f>
        <v>Realization of a Machine Learning Domain Specific Modeling Language: A Baseball Analytics Case Study</v>
      </c>
      <c r="F17" t="str">
        <f>VLOOKUP(Tabelle43[[#This Row],[Key]],'3. Unique Results'!A:X,6,FALSE)</f>
        <v>Proceedings of the 7th International Conference on Model-Driven Engineering and Software Development, MODELSWARD 2019, Prague, Czech Republic, February 20-22, 2019</v>
      </c>
      <c r="G17" t="str">
        <f>VLOOKUP(Tabelle43[[#This Row],[Key]],'3. Unique Results'!A:X,7,FALSE)</f>
        <v/>
      </c>
      <c r="H17" t="str">
        <f>VLOOKUP(Tabelle43[[#This Row],[Key]],'3. Unique Results'!A:X,8,FALSE)</f>
        <v/>
      </c>
      <c r="I17" t="str">
        <f>VLOOKUP(Tabelle43[[#This Row],[Key]],'3. Unique Results'!A:X,9,FALSE)</f>
        <v>10.5220/0007245800150026</v>
      </c>
      <c r="J17" t="str">
        <f>VLOOKUP(Tabelle43[[#This Row],[Key]],'3. Unique Results'!A:X,10,FALSE)</f>
        <v>https://doi.org/10.5220/0007245800150026</v>
      </c>
      <c r="K17" t="str">
        <f>VLOOKUP(Tabelle43[[#This Row],[Key]],'3. Unique Results'!A:X,11,FALSE)</f>
        <v>2019</v>
      </c>
      <c r="L17">
        <f>VLOOKUP(Tabelle43[[#This Row],[Key]],'3. Unique Results'!A:X,12,FALSE)</f>
        <v>44887.363807870373</v>
      </c>
      <c r="M17" s="17">
        <f>VLOOKUP(Tabelle43[[#This Row],[Key]],'3. Unique Results'!A:X,13,FALSE)</f>
        <v>44887.363807870373</v>
      </c>
      <c r="N17" s="17">
        <f>VLOOKUP(Tabelle43[[#This Row],[Key]],'3. Unique Results'!A:X,14,FALSE)</f>
        <v>0</v>
      </c>
      <c r="O17" t="str">
        <f>VLOOKUP(Tabelle43[[#This Row],[Key]],'3. Unique Results'!A:X,15,FALSE)</f>
        <v>13–24</v>
      </c>
      <c r="P17" t="str">
        <f>VLOOKUP(Tabelle43[[#This Row],[Key]],'3. Unique Results'!A:X,16,FALSE)</f>
        <v/>
      </c>
      <c r="Q17" t="str">
        <f>VLOOKUP(Tabelle43[[#This Row],[Key]],'3. Unique Results'!A:X,17,FALSE)</f>
        <v/>
      </c>
      <c r="R17" t="str">
        <f>VLOOKUP(Tabelle43[[#This Row],[Key]],'3. Unique Results'!A:X,18,FALSE)</f>
        <v/>
      </c>
      <c r="S17" t="str">
        <f>VLOOKUP(Tabelle43[[#This Row],[Key]],'3. Unique Results'!A:X,19,FALSE)</f>
        <v/>
      </c>
      <c r="T17" t="str">
        <f>VLOOKUP(Tabelle43[[#This Row],[Key]],'3. Unique Results'!A:X,20,FALSE)</f>
        <v>SciTePress</v>
      </c>
      <c r="U17" t="str">
        <f>VLOOKUP(Tabelle43[[#This Row],[Key]],'3. Unique Results'!A:X,21,FALSE)</f>
        <v/>
      </c>
      <c r="V17" t="str">
        <f>VLOOKUP(Tabelle43[[#This Row],[Key]],'3. Unique Results'!A:X,22,FALSE)</f>
        <v/>
      </c>
      <c r="W17" t="str">
        <f>VLOOKUP(Tabelle43[[#This Row],[Key]],'3. Unique Results'!A:X,23,FALSE)</f>
        <v/>
      </c>
    </row>
    <row r="18" spans="1:23">
      <c r="A18" t="s">
        <v>4469</v>
      </c>
      <c r="B18" t="str">
        <f>VLOOKUP(Tabelle43[[#This Row],[Key]],'3. Unique Results'!A:X,2,FALSE)</f>
        <v>journalArticle</v>
      </c>
      <c r="C18">
        <f>VLOOKUP(Tabelle43[[#This Row],[Key]],'3. Unique Results'!A:X,3,FALSE)</f>
        <v>2019</v>
      </c>
      <c r="D18" t="str">
        <f>VLOOKUP(Tabelle43[[#This Row],[Key]],'3. Unique Results'!A:X,4,FALSE)</f>
        <v>Kunft, Andreas; Katsifodimos, Asterios; Schelter, Sebastian; Breß, Sebastian; Rabl, Tilmann; Markl, Volker</v>
      </c>
      <c r="E18" t="str">
        <f>VLOOKUP(Tabelle43[[#This Row],[Key]],'3. Unique Results'!A:X,5,FALSE)</f>
        <v>An Intermediate Representation for Optimizing Machine Learning Pipelines</v>
      </c>
      <c r="F18" t="str">
        <f>VLOOKUP(Tabelle43[[#This Row],[Key]],'3. Unique Results'!A:X,6,FALSE)</f>
        <v>Proc. VLDB Endow.</v>
      </c>
      <c r="G18" t="str">
        <f>VLOOKUP(Tabelle43[[#This Row],[Key]],'3. Unique Results'!A:X,7,FALSE)</f>
        <v/>
      </c>
      <c r="H18" t="str">
        <f>VLOOKUP(Tabelle43[[#This Row],[Key]],'3. Unique Results'!A:X,8,FALSE)</f>
        <v>2150-8097</v>
      </c>
      <c r="I18" t="str">
        <f>VLOOKUP(Tabelle43[[#This Row],[Key]],'3. Unique Results'!A:X,9,FALSE)</f>
        <v>10.14778/3342263.3342633</v>
      </c>
      <c r="J18" t="str">
        <f>VLOOKUP(Tabelle43[[#This Row],[Key]],'3. Unique Results'!A:X,10,FALSE)</f>
        <v>https://doi.org/10.14778/3342263.3342633</v>
      </c>
      <c r="K18" t="str">
        <f>VLOOKUP(Tabelle43[[#This Row],[Key]],'3. Unique Results'!A:X,11,FALSE)</f>
        <v>2019-07</v>
      </c>
      <c r="L18">
        <f>VLOOKUP(Tabelle43[[#This Row],[Key]],'3. Unique Results'!A:X,12,FALSE)</f>
        <v>44887.363807870373</v>
      </c>
      <c r="M18" s="17">
        <f>VLOOKUP(Tabelle43[[#This Row],[Key]],'3. Unique Results'!A:X,13,FALSE)</f>
        <v>44887.363807870373</v>
      </c>
      <c r="N18" s="17">
        <f>VLOOKUP(Tabelle43[[#This Row],[Key]],'3. Unique Results'!A:X,14,FALSE)</f>
        <v>0</v>
      </c>
      <c r="O18" t="str">
        <f>VLOOKUP(Tabelle43[[#This Row],[Key]],'3. Unique Results'!A:X,15,FALSE)</f>
        <v>1553–1567</v>
      </c>
      <c r="P18" t="str">
        <f>VLOOKUP(Tabelle43[[#This Row],[Key]],'3. Unique Results'!A:X,16,FALSE)</f>
        <v>11</v>
      </c>
      <c r="Q18" t="str">
        <f>VLOOKUP(Tabelle43[[#This Row],[Key]],'3. Unique Results'!A:X,17,FALSE)</f>
        <v>12</v>
      </c>
      <c r="R18" t="str">
        <f>VLOOKUP(Tabelle43[[#This Row],[Key]],'3. Unique Results'!A:X,18,FALSE)</f>
        <v/>
      </c>
      <c r="S18" t="str">
        <f>VLOOKUP(Tabelle43[[#This Row],[Key]],'3. Unique Results'!A:X,19,FALSE)</f>
        <v/>
      </c>
      <c r="T18" t="str">
        <f>VLOOKUP(Tabelle43[[#This Row],[Key]],'3. Unique Results'!A:X,20,FALSE)</f>
        <v/>
      </c>
      <c r="U18" t="str">
        <f>VLOOKUP(Tabelle43[[#This Row],[Key]],'3. Unique Results'!A:X,21,FALSE)</f>
        <v/>
      </c>
      <c r="V18" t="str">
        <f>VLOOKUP(Tabelle43[[#This Row],[Key]],'3. Unique Results'!A:X,22,FALSE)</f>
        <v/>
      </c>
      <c r="W18" t="str">
        <f>VLOOKUP(Tabelle43[[#This Row],[Key]],'3. Unique Results'!A:X,23,FALSE)</f>
        <v/>
      </c>
    </row>
    <row r="19" spans="1:23">
      <c r="A19" t="s">
        <v>4459</v>
      </c>
      <c r="B19" t="str">
        <f>VLOOKUP(Tabelle43[[#This Row],[Key]],'3. Unique Results'!A:X,2,FALSE)</f>
        <v>thesis</v>
      </c>
      <c r="C19">
        <f>VLOOKUP(Tabelle43[[#This Row],[Key]],'3. Unique Results'!A:X,3,FALSE)</f>
        <v>2021</v>
      </c>
      <c r="D19" t="str">
        <f>VLOOKUP(Tabelle43[[#This Row],[Key]],'3. Unique Results'!A:X,4,FALSE)</f>
        <v>Kusmenko, Evgeny</v>
      </c>
      <c r="E19" t="str">
        <f>VLOOKUP(Tabelle43[[#This Row],[Key]],'3. Unique Results'!A:X,5,FALSE)</f>
        <v>Model-Driven Development Methodology and Domain-Specific Languages for the Design of Artificial Intelligence in Cyber-Physical Systems</v>
      </c>
      <c r="F19" t="str">
        <f>VLOOKUP(Tabelle43[[#This Row],[Key]],'3. Unique Results'!A:X,6,FALSE)</f>
        <v/>
      </c>
      <c r="G19" t="str">
        <f>VLOOKUP(Tabelle43[[#This Row],[Key]],'3. Unique Results'!A:X,7,FALSE)</f>
        <v/>
      </c>
      <c r="H19" t="str">
        <f>VLOOKUP(Tabelle43[[#This Row],[Key]],'3. Unique Results'!A:X,8,FALSE)</f>
        <v/>
      </c>
      <c r="I19" t="str">
        <f>VLOOKUP(Tabelle43[[#This Row],[Key]],'3. Unique Results'!A:X,9,FALSE)</f>
        <v/>
      </c>
      <c r="J19" t="str">
        <f>VLOOKUP(Tabelle43[[#This Row],[Key]],'3. Unique Results'!A:X,10,FALSE)</f>
        <v>https://publications.rwth-aachen.de/record/835778</v>
      </c>
      <c r="K19" t="str">
        <f>VLOOKUP(Tabelle43[[#This Row],[Key]],'3. Unique Results'!A:X,11,FALSE)</f>
        <v>2021</v>
      </c>
      <c r="L19">
        <f>VLOOKUP(Tabelle43[[#This Row],[Key]],'3. Unique Results'!A:X,12,FALSE)</f>
        <v>44887.363807870373</v>
      </c>
      <c r="M19" s="17">
        <f>VLOOKUP(Tabelle43[[#This Row],[Key]],'3. Unique Results'!A:X,13,FALSE)</f>
        <v>44887.363807870373</v>
      </c>
      <c r="N19" s="17">
        <f>VLOOKUP(Tabelle43[[#This Row],[Key]],'3. Unique Results'!A:X,14,FALSE)</f>
        <v>0</v>
      </c>
      <c r="O19" t="str">
        <f>VLOOKUP(Tabelle43[[#This Row],[Key]],'3. Unique Results'!A:X,15,FALSE)</f>
        <v/>
      </c>
      <c r="P19" t="str">
        <f>VLOOKUP(Tabelle43[[#This Row],[Key]],'3. Unique Results'!A:X,16,FALSE)</f>
        <v/>
      </c>
      <c r="Q19" t="str">
        <f>VLOOKUP(Tabelle43[[#This Row],[Key]],'3. Unique Results'!A:X,17,FALSE)</f>
        <v/>
      </c>
      <c r="R19" t="str">
        <f>VLOOKUP(Tabelle43[[#This Row],[Key]],'3. Unique Results'!A:X,18,FALSE)</f>
        <v/>
      </c>
      <c r="S19" t="str">
        <f>VLOOKUP(Tabelle43[[#This Row],[Key]],'3. Unique Results'!A:X,19,FALSE)</f>
        <v/>
      </c>
      <c r="T19" t="str">
        <f>VLOOKUP(Tabelle43[[#This Row],[Key]],'3. Unique Results'!A:X,20,FALSE)</f>
        <v>RWTH Aachen University, Germany</v>
      </c>
      <c r="U19" t="str">
        <f>VLOOKUP(Tabelle43[[#This Row],[Key]],'3. Unique Results'!A:X,21,FALSE)</f>
        <v/>
      </c>
      <c r="V19" t="str">
        <f>VLOOKUP(Tabelle43[[#This Row],[Key]],'3. Unique Results'!A:X,22,FALSE)</f>
        <v/>
      </c>
      <c r="W19" t="str">
        <f>VLOOKUP(Tabelle43[[#This Row],[Key]],'3. Unique Results'!A:X,23,FALSE)</f>
        <v/>
      </c>
    </row>
    <row r="20" spans="1:23">
      <c r="A20" t="s">
        <v>4438</v>
      </c>
      <c r="B20" t="str">
        <f>VLOOKUP(Tabelle43[[#This Row],[Key]],'3. Unique Results'!A:X,2,FALSE)</f>
        <v>conferencePaper</v>
      </c>
      <c r="C20">
        <f>VLOOKUP(Tabelle43[[#This Row],[Key]],'3. Unique Results'!A:X,3,FALSE)</f>
        <v>2014</v>
      </c>
      <c r="D20" t="str">
        <f>VLOOKUP(Tabelle43[[#This Row],[Key]],'3. Unique Results'!A:X,4,FALSE)</f>
        <v>Lechevalier, David; Narayanan, Anantha; Rachuri, Sudarsan</v>
      </c>
      <c r="E20" t="str">
        <f>VLOOKUP(Tabelle43[[#This Row],[Key]],'3. Unique Results'!A:X,5,FALSE)</f>
        <v>Towards a domain-specific framework for predictive analytics in manufacturing</v>
      </c>
      <c r="F20" t="str">
        <f>VLOOKUP(Tabelle43[[#This Row],[Key]],'3. Unique Results'!A:X,6,FALSE)</f>
        <v>2014 IEEE International Conference on Big Data (Big Data)</v>
      </c>
      <c r="G20" t="str">
        <f>VLOOKUP(Tabelle43[[#This Row],[Key]],'3. Unique Results'!A:X,7,FALSE)</f>
        <v/>
      </c>
      <c r="H20" t="str">
        <f>VLOOKUP(Tabelle43[[#This Row],[Key]],'3. Unique Results'!A:X,8,FALSE)</f>
        <v/>
      </c>
      <c r="I20" t="str">
        <f>VLOOKUP(Tabelle43[[#This Row],[Key]],'3. Unique Results'!A:X,9,FALSE)</f>
        <v>10.1109/BigData.2014.7004332</v>
      </c>
      <c r="J20" t="str">
        <f>VLOOKUP(Tabelle43[[#This Row],[Key]],'3. Unique Results'!A:X,10,FALSE)</f>
        <v/>
      </c>
      <c r="K20" t="str">
        <f>VLOOKUP(Tabelle43[[#This Row],[Key]],'3. Unique Results'!A:X,11,FALSE)</f>
        <v>2014</v>
      </c>
      <c r="L20">
        <f>VLOOKUP(Tabelle43[[#This Row],[Key]],'3. Unique Results'!A:X,12,FALSE)</f>
        <v>44887.363807870373</v>
      </c>
      <c r="M20" s="17">
        <f>VLOOKUP(Tabelle43[[#This Row],[Key]],'3. Unique Results'!A:X,13,FALSE)</f>
        <v>44887.363807870373</v>
      </c>
      <c r="N20" s="17">
        <f>VLOOKUP(Tabelle43[[#This Row],[Key]],'3. Unique Results'!A:X,14,FALSE)</f>
        <v>0</v>
      </c>
      <c r="O20" t="str">
        <f>VLOOKUP(Tabelle43[[#This Row],[Key]],'3. Unique Results'!A:X,15,FALSE)</f>
        <v>987-995</v>
      </c>
      <c r="P20" t="str">
        <f>VLOOKUP(Tabelle43[[#This Row],[Key]],'3. Unique Results'!A:X,16,FALSE)</f>
        <v/>
      </c>
      <c r="Q20" t="str">
        <f>VLOOKUP(Tabelle43[[#This Row],[Key]],'3. Unique Results'!A:X,17,FALSE)</f>
        <v/>
      </c>
      <c r="R20" t="str">
        <f>VLOOKUP(Tabelle43[[#This Row],[Key]],'3. Unique Results'!A:X,18,FALSE)</f>
        <v/>
      </c>
      <c r="S20" t="str">
        <f>VLOOKUP(Tabelle43[[#This Row],[Key]],'3. Unique Results'!A:X,19,FALSE)</f>
        <v/>
      </c>
      <c r="T20" t="str">
        <f>VLOOKUP(Tabelle43[[#This Row],[Key]],'3. Unique Results'!A:X,20,FALSE)</f>
        <v/>
      </c>
      <c r="U20" t="str">
        <f>VLOOKUP(Tabelle43[[#This Row],[Key]],'3. Unique Results'!A:X,21,FALSE)</f>
        <v/>
      </c>
      <c r="V20" t="str">
        <f>VLOOKUP(Tabelle43[[#This Row],[Key]],'3. Unique Results'!A:X,22,FALSE)</f>
        <v/>
      </c>
      <c r="W20" t="str">
        <f>VLOOKUP(Tabelle43[[#This Row],[Key]],'3. Unique Results'!A:X,23,FALSE)</f>
        <v/>
      </c>
    </row>
    <row r="21" spans="1:23">
      <c r="A21" t="s">
        <v>4440</v>
      </c>
      <c r="B21" t="str">
        <f>VLOOKUP(Tabelle43[[#This Row],[Key]],'3. Unique Results'!A:X,2,FALSE)</f>
        <v>journalArticle</v>
      </c>
      <c r="C21">
        <f>VLOOKUP(Tabelle43[[#This Row],[Key]],'3. Unique Results'!A:X,3,FALSE)</f>
        <v>2021</v>
      </c>
      <c r="D21" t="str">
        <f>VLOOKUP(Tabelle43[[#This Row],[Key]],'3. Unique Results'!A:X,4,FALSE)</f>
        <v>Meacham, Sofia; Pech, Vaclav; Nauck, Detlef</v>
      </c>
      <c r="E21" t="str">
        <f>VLOOKUP(Tabelle43[[#This Row],[Key]],'3. Unique Results'!A:X,5,FALSE)</f>
        <v>AdaptiveSystems: An Integrated Framework for Adaptive Systems Design and Development Using MPS JetBrains Domain-Specific Modeling Environment</v>
      </c>
      <c r="F21" t="str">
        <f>VLOOKUP(Tabelle43[[#This Row],[Key]],'3. Unique Results'!A:X,6,FALSE)</f>
        <v>IEEE Access</v>
      </c>
      <c r="G21" t="str">
        <f>VLOOKUP(Tabelle43[[#This Row],[Key]],'3. Unique Results'!A:X,7,FALSE)</f>
        <v/>
      </c>
      <c r="H21" t="str">
        <f>VLOOKUP(Tabelle43[[#This Row],[Key]],'3. Unique Results'!A:X,8,FALSE)</f>
        <v/>
      </c>
      <c r="I21" t="str">
        <f>VLOOKUP(Tabelle43[[#This Row],[Key]],'3. Unique Results'!A:X,9,FALSE)</f>
        <v>10.1109/ACCESS.2021.3111229</v>
      </c>
      <c r="J21" t="str">
        <f>VLOOKUP(Tabelle43[[#This Row],[Key]],'3. Unique Results'!A:X,10,FALSE)</f>
        <v/>
      </c>
      <c r="K21" t="str">
        <f>VLOOKUP(Tabelle43[[#This Row],[Key]],'3. Unique Results'!A:X,11,FALSE)</f>
        <v>2021</v>
      </c>
      <c r="L21">
        <f>VLOOKUP(Tabelle43[[#This Row],[Key]],'3. Unique Results'!A:X,12,FALSE)</f>
        <v>44887.363807870373</v>
      </c>
      <c r="M21" s="17">
        <f>VLOOKUP(Tabelle43[[#This Row],[Key]],'3. Unique Results'!A:X,13,FALSE)</f>
        <v>44887.363807870373</v>
      </c>
      <c r="N21" s="17">
        <f>VLOOKUP(Tabelle43[[#This Row],[Key]],'3. Unique Results'!A:X,14,FALSE)</f>
        <v>0</v>
      </c>
      <c r="O21" t="str">
        <f>VLOOKUP(Tabelle43[[#This Row],[Key]],'3. Unique Results'!A:X,15,FALSE)</f>
        <v>127973-127984</v>
      </c>
      <c r="P21" t="str">
        <f>VLOOKUP(Tabelle43[[#This Row],[Key]],'3. Unique Results'!A:X,16,FALSE)</f>
        <v/>
      </c>
      <c r="Q21" t="str">
        <f>VLOOKUP(Tabelle43[[#This Row],[Key]],'3. Unique Results'!A:X,17,FALSE)</f>
        <v>9</v>
      </c>
      <c r="R21" t="str">
        <f>VLOOKUP(Tabelle43[[#This Row],[Key]],'3. Unique Results'!A:X,18,FALSE)</f>
        <v/>
      </c>
      <c r="S21" t="str">
        <f>VLOOKUP(Tabelle43[[#This Row],[Key]],'3. Unique Results'!A:X,19,FALSE)</f>
        <v/>
      </c>
      <c r="T21" t="str">
        <f>VLOOKUP(Tabelle43[[#This Row],[Key]],'3. Unique Results'!A:X,20,FALSE)</f>
        <v/>
      </c>
      <c r="U21" t="str">
        <f>VLOOKUP(Tabelle43[[#This Row],[Key]],'3. Unique Results'!A:X,21,FALSE)</f>
        <v/>
      </c>
      <c r="V21" t="str">
        <f>VLOOKUP(Tabelle43[[#This Row],[Key]],'3. Unique Results'!A:X,22,FALSE)</f>
        <v/>
      </c>
      <c r="W21" t="str">
        <f>VLOOKUP(Tabelle43[[#This Row],[Key]],'3. Unique Results'!A:X,23,FALSE)</f>
        <v/>
      </c>
    </row>
    <row r="22" spans="1:23">
      <c r="A22" t="s">
        <v>4444</v>
      </c>
      <c r="B22" t="str">
        <f>VLOOKUP(Tabelle43[[#This Row],[Key]],'3. Unique Results'!A:X,2,FALSE)</f>
        <v>journalArticle</v>
      </c>
      <c r="C22">
        <f>VLOOKUP(Tabelle43[[#This Row],[Key]],'3. Unique Results'!A:X,3,FALSE)</f>
        <v>2021</v>
      </c>
      <c r="D22" t="str">
        <f>VLOOKUP(Tabelle43[[#This Row],[Key]],'3. Unique Results'!A:X,4,FALSE)</f>
        <v>Moin, A.; Challenger, M.; Badii, A.; ...</v>
      </c>
      <c r="E22" t="str">
        <f>VLOOKUP(Tabelle43[[#This Row],[Key]],'3. Unique Results'!A:X,5,FALSE)</f>
        <v>Mde4qai: Towards model-driven engineering for quantum artificial intelligence</v>
      </c>
      <c r="F22" t="str">
        <f>VLOOKUP(Tabelle43[[#This Row],[Key]],'3. Unique Results'!A:X,6,FALSE)</f>
        <v>arXiv preprint arXiv …</v>
      </c>
      <c r="G22" t="str">
        <f>VLOOKUP(Tabelle43[[#This Row],[Key]],'3. Unique Results'!A:X,7,FALSE)</f>
        <v/>
      </c>
      <c r="H22" t="str">
        <f>VLOOKUP(Tabelle43[[#This Row],[Key]],'3. Unique Results'!A:X,8,FALSE)</f>
        <v/>
      </c>
      <c r="I22" t="str">
        <f>VLOOKUP(Tabelle43[[#This Row],[Key]],'3. Unique Results'!A:X,9,FALSE)</f>
        <v/>
      </c>
      <c r="J22" t="str">
        <f>VLOOKUP(Tabelle43[[#This Row],[Key]],'3. Unique Results'!A:X,10,FALSE)</f>
        <v>https://arxiv.org/abs/2107.06708</v>
      </c>
      <c r="K22" t="str">
        <f>VLOOKUP(Tabelle43[[#This Row],[Key]],'3. Unique Results'!A:X,11,FALSE)</f>
        <v>2021</v>
      </c>
      <c r="L22">
        <f>VLOOKUP(Tabelle43[[#This Row],[Key]],'3. Unique Results'!A:X,12,FALSE)</f>
        <v>44887.363807870373</v>
      </c>
      <c r="M22" s="17">
        <f>VLOOKUP(Tabelle43[[#This Row],[Key]],'3. Unique Results'!A:X,13,FALSE)</f>
        <v>44887.363807870373</v>
      </c>
      <c r="N22" s="17">
        <f>VLOOKUP(Tabelle43[[#This Row],[Key]],'3. Unique Results'!A:X,14,FALSE)</f>
        <v>0</v>
      </c>
      <c r="O22" t="str">
        <f>VLOOKUP(Tabelle43[[#This Row],[Key]],'3. Unique Results'!A:X,15,FALSE)</f>
        <v/>
      </c>
      <c r="P22" t="str">
        <f>VLOOKUP(Tabelle43[[#This Row],[Key]],'3. Unique Results'!A:X,16,FALSE)</f>
        <v/>
      </c>
      <c r="Q22" t="str">
        <f>VLOOKUP(Tabelle43[[#This Row],[Key]],'3. Unique Results'!A:X,17,FALSE)</f>
        <v/>
      </c>
      <c r="R22" t="str">
        <f>VLOOKUP(Tabelle43[[#This Row],[Key]],'3. Unique Results'!A:X,18,FALSE)</f>
        <v/>
      </c>
      <c r="S22" t="str">
        <f>VLOOKUP(Tabelle43[[#This Row],[Key]],'3. Unique Results'!A:X,19,FALSE)</f>
        <v/>
      </c>
      <c r="T22" t="str">
        <f>VLOOKUP(Tabelle43[[#This Row],[Key]],'3. Unique Results'!A:X,20,FALSE)</f>
        <v/>
      </c>
      <c r="U22" t="str">
        <f>VLOOKUP(Tabelle43[[#This Row],[Key]],'3. Unique Results'!A:X,21,FALSE)</f>
        <v/>
      </c>
      <c r="V22" t="str">
        <f>VLOOKUP(Tabelle43[[#This Row],[Key]],'3. Unique Results'!A:X,22,FALSE)</f>
        <v/>
      </c>
      <c r="W22" t="str">
        <f>VLOOKUP(Tabelle43[[#This Row],[Key]],'3. Unique Results'!A:X,23,FALSE)</f>
        <v/>
      </c>
    </row>
    <row r="23" spans="1:23">
      <c r="A23" t="s">
        <v>4443</v>
      </c>
      <c r="B23" t="str">
        <f>VLOOKUP(Tabelle43[[#This Row],[Key]],'3. Unique Results'!A:X,2,FALSE)</f>
        <v>journalArticle</v>
      </c>
      <c r="C23">
        <f>VLOOKUP(Tabelle43[[#This Row],[Key]],'3. Unique Results'!A:X,3,FALSE)</f>
        <v>2020</v>
      </c>
      <c r="D23" t="str">
        <f>VLOOKUP(Tabelle43[[#This Row],[Key]],'3. Unique Results'!A:X,4,FALSE)</f>
        <v>Moin, A.; Rössler, S.; Günnemann, S.</v>
      </c>
      <c r="E23" t="str">
        <f>VLOOKUP(Tabelle43[[#This Row],[Key]],'3. Unique Results'!A:X,5,FALSE)</f>
        <v>ThingML+ Augmenting Model-Driven Software Engineering for the Internet of Things with Machine Learning</v>
      </c>
      <c r="F23" t="str">
        <f>VLOOKUP(Tabelle43[[#This Row],[Key]],'3. Unique Results'!A:X,6,FALSE)</f>
        <v>arXiv preprint arXiv:2009.10633</v>
      </c>
      <c r="G23" t="str">
        <f>VLOOKUP(Tabelle43[[#This Row],[Key]],'3. Unique Results'!A:X,7,FALSE)</f>
        <v/>
      </c>
      <c r="H23" t="str">
        <f>VLOOKUP(Tabelle43[[#This Row],[Key]],'3. Unique Results'!A:X,8,FALSE)</f>
        <v/>
      </c>
      <c r="I23" t="str">
        <f>VLOOKUP(Tabelle43[[#This Row],[Key]],'3. Unique Results'!A:X,9,FALSE)</f>
        <v/>
      </c>
      <c r="J23" t="str">
        <f>VLOOKUP(Tabelle43[[#This Row],[Key]],'3. Unique Results'!A:X,10,FALSE)</f>
        <v>https://arxiv.org/abs/2009.10633</v>
      </c>
      <c r="K23" t="str">
        <f>VLOOKUP(Tabelle43[[#This Row],[Key]],'3. Unique Results'!A:X,11,FALSE)</f>
        <v>2020</v>
      </c>
      <c r="L23">
        <f>VLOOKUP(Tabelle43[[#This Row],[Key]],'3. Unique Results'!A:X,12,FALSE)</f>
        <v>44887.363807870373</v>
      </c>
      <c r="M23" s="17">
        <f>VLOOKUP(Tabelle43[[#This Row],[Key]],'3. Unique Results'!A:X,13,FALSE)</f>
        <v>44887.363807870373</v>
      </c>
      <c r="N23" s="17">
        <f>VLOOKUP(Tabelle43[[#This Row],[Key]],'3. Unique Results'!A:X,14,FALSE)</f>
        <v>0</v>
      </c>
      <c r="O23" t="str">
        <f>VLOOKUP(Tabelle43[[#This Row],[Key]],'3. Unique Results'!A:X,15,FALSE)</f>
        <v/>
      </c>
      <c r="P23" t="str">
        <f>VLOOKUP(Tabelle43[[#This Row],[Key]],'3. Unique Results'!A:X,16,FALSE)</f>
        <v/>
      </c>
      <c r="Q23" t="str">
        <f>VLOOKUP(Tabelle43[[#This Row],[Key]],'3. Unique Results'!A:X,17,FALSE)</f>
        <v/>
      </c>
      <c r="R23" t="str">
        <f>VLOOKUP(Tabelle43[[#This Row],[Key]],'3. Unique Results'!A:X,18,FALSE)</f>
        <v/>
      </c>
      <c r="S23" t="str">
        <f>VLOOKUP(Tabelle43[[#This Row],[Key]],'3. Unique Results'!A:X,19,FALSE)</f>
        <v/>
      </c>
      <c r="T23" t="str">
        <f>VLOOKUP(Tabelle43[[#This Row],[Key]],'3. Unique Results'!A:X,20,FALSE)</f>
        <v/>
      </c>
      <c r="U23" t="str">
        <f>VLOOKUP(Tabelle43[[#This Row],[Key]],'3. Unique Results'!A:X,21,FALSE)</f>
        <v/>
      </c>
      <c r="V23" t="str">
        <f>VLOOKUP(Tabelle43[[#This Row],[Key]],'3. Unique Results'!A:X,22,FALSE)</f>
        <v/>
      </c>
      <c r="W23" t="str">
        <f>VLOOKUP(Tabelle43[[#This Row],[Key]],'3. Unique Results'!A:X,23,FALSE)</f>
        <v/>
      </c>
    </row>
    <row r="24" spans="1:23">
      <c r="A24" t="s">
        <v>4447</v>
      </c>
      <c r="B24" t="str">
        <f>VLOOKUP(Tabelle43[[#This Row],[Key]],'3. Unique Results'!A:X,2,FALSE)</f>
        <v>journalArticle</v>
      </c>
      <c r="C24">
        <f>VLOOKUP(Tabelle43[[#This Row],[Key]],'3. Unique Results'!A:X,3,FALSE)</f>
        <v>2022</v>
      </c>
      <c r="D24" t="str">
        <f>VLOOKUP(Tabelle43[[#This Row],[Key]],'3. Unique Results'!A:X,4,FALSE)</f>
        <v>Moin, A.; Wattanavaekin, U.; Lungu, A.; ...</v>
      </c>
      <c r="E24" t="str">
        <f>VLOOKUP(Tabelle43[[#This Row],[Key]],'3. Unique Results'!A:X,5,FALSE)</f>
        <v>Enabling Automated Machine Learning for Model-Driven AI Engineering</v>
      </c>
      <c r="F24" t="str">
        <f>VLOOKUP(Tabelle43[[#This Row],[Key]],'3. Unique Results'!A:X,6,FALSE)</f>
        <v>arXiv preprint arXiv …</v>
      </c>
      <c r="G24" t="str">
        <f>VLOOKUP(Tabelle43[[#This Row],[Key]],'3. Unique Results'!A:X,7,FALSE)</f>
        <v/>
      </c>
      <c r="H24" t="str">
        <f>VLOOKUP(Tabelle43[[#This Row],[Key]],'3. Unique Results'!A:X,8,FALSE)</f>
        <v/>
      </c>
      <c r="I24" t="str">
        <f>VLOOKUP(Tabelle43[[#This Row],[Key]],'3. Unique Results'!A:X,9,FALSE)</f>
        <v/>
      </c>
      <c r="J24" t="str">
        <f>VLOOKUP(Tabelle43[[#This Row],[Key]],'3. Unique Results'!A:X,10,FALSE)</f>
        <v>https://arxiv.org/abs/2203.02927</v>
      </c>
      <c r="K24" t="str">
        <f>VLOOKUP(Tabelle43[[#This Row],[Key]],'3. Unique Results'!A:X,11,FALSE)</f>
        <v>2022</v>
      </c>
      <c r="L24">
        <f>VLOOKUP(Tabelle43[[#This Row],[Key]],'3. Unique Results'!A:X,12,FALSE)</f>
        <v>44887.363807870373</v>
      </c>
      <c r="M24" s="17">
        <f>VLOOKUP(Tabelle43[[#This Row],[Key]],'3. Unique Results'!A:X,13,FALSE)</f>
        <v>44887.363807870373</v>
      </c>
      <c r="N24" s="17">
        <f>VLOOKUP(Tabelle43[[#This Row],[Key]],'3. Unique Results'!A:X,14,FALSE)</f>
        <v>0</v>
      </c>
      <c r="O24" t="str">
        <f>VLOOKUP(Tabelle43[[#This Row],[Key]],'3. Unique Results'!A:X,15,FALSE)</f>
        <v/>
      </c>
      <c r="P24" t="str">
        <f>VLOOKUP(Tabelle43[[#This Row],[Key]],'3. Unique Results'!A:X,16,FALSE)</f>
        <v/>
      </c>
      <c r="Q24" t="str">
        <f>VLOOKUP(Tabelle43[[#This Row],[Key]],'3. Unique Results'!A:X,17,FALSE)</f>
        <v/>
      </c>
      <c r="R24" t="str">
        <f>VLOOKUP(Tabelle43[[#This Row],[Key]],'3. Unique Results'!A:X,18,FALSE)</f>
        <v/>
      </c>
      <c r="S24" t="str">
        <f>VLOOKUP(Tabelle43[[#This Row],[Key]],'3. Unique Results'!A:X,19,FALSE)</f>
        <v/>
      </c>
      <c r="T24" t="str">
        <f>VLOOKUP(Tabelle43[[#This Row],[Key]],'3. Unique Results'!A:X,20,FALSE)</f>
        <v/>
      </c>
      <c r="U24" t="str">
        <f>VLOOKUP(Tabelle43[[#This Row],[Key]],'3. Unique Results'!A:X,21,FALSE)</f>
        <v/>
      </c>
      <c r="V24" t="str">
        <f>VLOOKUP(Tabelle43[[#This Row],[Key]],'3. Unique Results'!A:X,22,FALSE)</f>
        <v/>
      </c>
      <c r="W24" t="str">
        <f>VLOOKUP(Tabelle43[[#This Row],[Key]],'3. Unique Results'!A:X,23,FALSE)</f>
        <v/>
      </c>
    </row>
    <row r="25" spans="1:23">
      <c r="A25" t="s">
        <v>4454</v>
      </c>
      <c r="B25" t="str">
        <f>VLOOKUP(Tabelle43[[#This Row],[Key]],'3. Unique Results'!A:X,2,FALSE)</f>
        <v>conferencePaper</v>
      </c>
      <c r="C25">
        <f>VLOOKUP(Tabelle43[[#This Row],[Key]],'3. Unique Results'!A:X,3,FALSE)</f>
        <v>2021</v>
      </c>
      <c r="D25" t="str">
        <f>VLOOKUP(Tabelle43[[#This Row],[Key]],'3. Unique Results'!A:X,4,FALSE)</f>
        <v>Moin, Armin</v>
      </c>
      <c r="E25" t="str">
        <f>VLOOKUP(Tabelle43[[#This Row],[Key]],'3. Unique Results'!A:X,5,FALSE)</f>
        <v>Data Analytics and Machine Learning Methods, Techniques and Tool for Model-Driven Engineering of Smart IoT Services</v>
      </c>
      <c r="F25" t="str">
        <f>VLOOKUP(Tabelle43[[#This Row],[Key]],'3. Unique Results'!A:X,6,FALSE)</f>
        <v>43rd IEEE/ACM International Conference on Software Engineering: Companion Proceedings, ICSE Companion 2021, Madrid, Spain, May 25-28, 2021</v>
      </c>
      <c r="G25" t="str">
        <f>VLOOKUP(Tabelle43[[#This Row],[Key]],'3. Unique Results'!A:X,7,FALSE)</f>
        <v/>
      </c>
      <c r="H25" t="str">
        <f>VLOOKUP(Tabelle43[[#This Row],[Key]],'3. Unique Results'!A:X,8,FALSE)</f>
        <v/>
      </c>
      <c r="I25" t="str">
        <f>VLOOKUP(Tabelle43[[#This Row],[Key]],'3. Unique Results'!A:X,9,FALSE)</f>
        <v>10.1109/ICSE-Companion52605.2021.00130</v>
      </c>
      <c r="J25" t="str">
        <f>VLOOKUP(Tabelle43[[#This Row],[Key]],'3. Unique Results'!A:X,10,FALSE)</f>
        <v>https://doi.org/10.1109/ICSE-Companion52605.2021.00130</v>
      </c>
      <c r="K25" t="str">
        <f>VLOOKUP(Tabelle43[[#This Row],[Key]],'3. Unique Results'!A:X,11,FALSE)</f>
        <v>2021</v>
      </c>
      <c r="L25">
        <f>VLOOKUP(Tabelle43[[#This Row],[Key]],'3. Unique Results'!A:X,12,FALSE)</f>
        <v>44887.363807870373</v>
      </c>
      <c r="M25" s="17">
        <f>VLOOKUP(Tabelle43[[#This Row],[Key]],'3. Unique Results'!A:X,13,FALSE)</f>
        <v>44887.363807870373</v>
      </c>
      <c r="N25" s="17">
        <f>VLOOKUP(Tabelle43[[#This Row],[Key]],'3. Unique Results'!A:X,14,FALSE)</f>
        <v>0</v>
      </c>
      <c r="O25" t="str">
        <f>VLOOKUP(Tabelle43[[#This Row],[Key]],'3. Unique Results'!A:X,15,FALSE)</f>
        <v>287–292</v>
      </c>
      <c r="P25" t="str">
        <f>VLOOKUP(Tabelle43[[#This Row],[Key]],'3. Unique Results'!A:X,16,FALSE)</f>
        <v/>
      </c>
      <c r="Q25" t="str">
        <f>VLOOKUP(Tabelle43[[#This Row],[Key]],'3. Unique Results'!A:X,17,FALSE)</f>
        <v/>
      </c>
      <c r="R25" t="str">
        <f>VLOOKUP(Tabelle43[[#This Row],[Key]],'3. Unique Results'!A:X,18,FALSE)</f>
        <v/>
      </c>
      <c r="S25" t="str">
        <f>VLOOKUP(Tabelle43[[#This Row],[Key]],'3. Unique Results'!A:X,19,FALSE)</f>
        <v/>
      </c>
      <c r="T25" t="str">
        <f>VLOOKUP(Tabelle43[[#This Row],[Key]],'3. Unique Results'!A:X,20,FALSE)</f>
        <v>IEEE</v>
      </c>
      <c r="U25" t="str">
        <f>VLOOKUP(Tabelle43[[#This Row],[Key]],'3. Unique Results'!A:X,21,FALSE)</f>
        <v/>
      </c>
      <c r="V25" t="str">
        <f>VLOOKUP(Tabelle43[[#This Row],[Key]],'3. Unique Results'!A:X,22,FALSE)</f>
        <v/>
      </c>
      <c r="W25" t="str">
        <f>VLOOKUP(Tabelle43[[#This Row],[Key]],'3. Unique Results'!A:X,23,FALSE)</f>
        <v/>
      </c>
    </row>
    <row r="26" spans="1:23">
      <c r="A26" t="s">
        <v>4455</v>
      </c>
      <c r="B26" t="str">
        <f>VLOOKUP(Tabelle43[[#This Row],[Key]],'3. Unique Results'!A:X,2,FALSE)</f>
        <v>thesis</v>
      </c>
      <c r="C26">
        <f>VLOOKUP(Tabelle43[[#This Row],[Key]],'3. Unique Results'!A:X,3,FALSE)</f>
        <v>2022</v>
      </c>
      <c r="D26" t="str">
        <f>VLOOKUP(Tabelle43[[#This Row],[Key]],'3. Unique Results'!A:X,4,FALSE)</f>
        <v>Moin, Armin</v>
      </c>
      <c r="E26" t="str">
        <f>VLOOKUP(Tabelle43[[#This Row],[Key]],'3. Unique Results'!A:X,5,FALSE)</f>
        <v>Enabling Data Analytics and Machine Learning in Model-Driven Software Engineering of Smart IoT Services</v>
      </c>
      <c r="F26" t="str">
        <f>VLOOKUP(Tabelle43[[#This Row],[Key]],'3. Unique Results'!A:X,6,FALSE)</f>
        <v/>
      </c>
      <c r="G26" t="str">
        <f>VLOOKUP(Tabelle43[[#This Row],[Key]],'3. Unique Results'!A:X,7,FALSE)</f>
        <v/>
      </c>
      <c r="H26" t="str">
        <f>VLOOKUP(Tabelle43[[#This Row],[Key]],'3. Unique Results'!A:X,8,FALSE)</f>
        <v/>
      </c>
      <c r="I26" t="str">
        <f>VLOOKUP(Tabelle43[[#This Row],[Key]],'3. Unique Results'!A:X,9,FALSE)</f>
        <v/>
      </c>
      <c r="J26" t="str">
        <f>VLOOKUP(Tabelle43[[#This Row],[Key]],'3. Unique Results'!A:X,10,FALSE)</f>
        <v>https://nbn-resolving.org/urn:nbn:de:bvb:91-diss-20220720-1660445-1-6</v>
      </c>
      <c r="K26" t="str">
        <f>VLOOKUP(Tabelle43[[#This Row],[Key]],'3. Unique Results'!A:X,11,FALSE)</f>
        <v>2022</v>
      </c>
      <c r="L26">
        <f>VLOOKUP(Tabelle43[[#This Row],[Key]],'3. Unique Results'!A:X,12,FALSE)</f>
        <v>44887.363807870373</v>
      </c>
      <c r="M26" s="17">
        <f>VLOOKUP(Tabelle43[[#This Row],[Key]],'3. Unique Results'!A:X,13,FALSE)</f>
        <v>44887.363807870373</v>
      </c>
      <c r="N26" s="17">
        <f>VLOOKUP(Tabelle43[[#This Row],[Key]],'3. Unique Results'!A:X,14,FALSE)</f>
        <v>0</v>
      </c>
      <c r="O26" t="str">
        <f>VLOOKUP(Tabelle43[[#This Row],[Key]],'3. Unique Results'!A:X,15,FALSE)</f>
        <v/>
      </c>
      <c r="P26" t="str">
        <f>VLOOKUP(Tabelle43[[#This Row],[Key]],'3. Unique Results'!A:X,16,FALSE)</f>
        <v/>
      </c>
      <c r="Q26" t="str">
        <f>VLOOKUP(Tabelle43[[#This Row],[Key]],'3. Unique Results'!A:X,17,FALSE)</f>
        <v/>
      </c>
      <c r="R26" t="str">
        <f>VLOOKUP(Tabelle43[[#This Row],[Key]],'3. Unique Results'!A:X,18,FALSE)</f>
        <v/>
      </c>
      <c r="S26" t="str">
        <f>VLOOKUP(Tabelle43[[#This Row],[Key]],'3. Unique Results'!A:X,19,FALSE)</f>
        <v/>
      </c>
      <c r="T26" t="str">
        <f>VLOOKUP(Tabelle43[[#This Row],[Key]],'3. Unique Results'!A:X,20,FALSE)</f>
        <v>Technical University of Munich, Germany</v>
      </c>
      <c r="U26" t="str">
        <f>VLOOKUP(Tabelle43[[#This Row],[Key]],'3. Unique Results'!A:X,21,FALSE)</f>
        <v/>
      </c>
      <c r="V26" t="str">
        <f>VLOOKUP(Tabelle43[[#This Row],[Key]],'3. Unique Results'!A:X,22,FALSE)</f>
        <v/>
      </c>
      <c r="W26" t="str">
        <f>VLOOKUP(Tabelle43[[#This Row],[Key]],'3. Unique Results'!A:X,23,FALSE)</f>
        <v/>
      </c>
    </row>
    <row r="27" spans="1:23">
      <c r="A27" t="s">
        <v>4453</v>
      </c>
      <c r="B27" t="str">
        <f>VLOOKUP(Tabelle43[[#This Row],[Key]],'3. Unique Results'!A:X,2,FALSE)</f>
        <v>journalArticle</v>
      </c>
      <c r="C27">
        <f>VLOOKUP(Tabelle43[[#This Row],[Key]],'3. Unique Results'!A:X,3,FALSE)</f>
        <v>2021</v>
      </c>
      <c r="D27" t="str">
        <f>VLOOKUP(Tabelle43[[#This Row],[Key]],'3. Unique Results'!A:X,4,FALSE)</f>
        <v>Moin, Armin; Badii, Atta; Günnemann, Stephan</v>
      </c>
      <c r="E27" t="str">
        <f>VLOOKUP(Tabelle43[[#This Row],[Key]],'3. Unique Results'!A:X,5,FALSE)</f>
        <v>A Model-Driven Engineering Approach to Machine Learning and Software Modeling</v>
      </c>
      <c r="F27" t="str">
        <f>VLOOKUP(Tabelle43[[#This Row],[Key]],'3. Unique Results'!A:X,6,FALSE)</f>
        <v>CoRR</v>
      </c>
      <c r="G27" t="str">
        <f>VLOOKUP(Tabelle43[[#This Row],[Key]],'3. Unique Results'!A:X,7,FALSE)</f>
        <v/>
      </c>
      <c r="H27" t="str">
        <f>VLOOKUP(Tabelle43[[#This Row],[Key]],'3. Unique Results'!A:X,8,FALSE)</f>
        <v/>
      </c>
      <c r="I27" t="str">
        <f>VLOOKUP(Tabelle43[[#This Row],[Key]],'3. Unique Results'!A:X,9,FALSE)</f>
        <v/>
      </c>
      <c r="J27" t="str">
        <f>VLOOKUP(Tabelle43[[#This Row],[Key]],'3. Unique Results'!A:X,10,FALSE)</f>
        <v>https://arxiv.org/abs/2107.02689</v>
      </c>
      <c r="K27" t="str">
        <f>VLOOKUP(Tabelle43[[#This Row],[Key]],'3. Unique Results'!A:X,11,FALSE)</f>
        <v>2021</v>
      </c>
      <c r="L27">
        <f>VLOOKUP(Tabelle43[[#This Row],[Key]],'3. Unique Results'!A:X,12,FALSE)</f>
        <v>44887.363807870373</v>
      </c>
      <c r="M27" s="17">
        <f>VLOOKUP(Tabelle43[[#This Row],[Key]],'3. Unique Results'!A:X,13,FALSE)</f>
        <v>44887.363807870373</v>
      </c>
      <c r="N27" s="17">
        <f>VLOOKUP(Tabelle43[[#This Row],[Key]],'3. Unique Results'!A:X,14,FALSE)</f>
        <v>0</v>
      </c>
      <c r="O27" t="str">
        <f>VLOOKUP(Tabelle43[[#This Row],[Key]],'3. Unique Results'!A:X,15,FALSE)</f>
        <v/>
      </c>
      <c r="P27" t="str">
        <f>VLOOKUP(Tabelle43[[#This Row],[Key]],'3. Unique Results'!A:X,16,FALSE)</f>
        <v/>
      </c>
      <c r="Q27" t="str">
        <f>VLOOKUP(Tabelle43[[#This Row],[Key]],'3. Unique Results'!A:X,17,FALSE)</f>
        <v>abs/2107.02689</v>
      </c>
      <c r="R27" t="str">
        <f>VLOOKUP(Tabelle43[[#This Row],[Key]],'3. Unique Results'!A:X,18,FALSE)</f>
        <v/>
      </c>
      <c r="S27" t="str">
        <f>VLOOKUP(Tabelle43[[#This Row],[Key]],'3. Unique Results'!A:X,19,FALSE)</f>
        <v/>
      </c>
      <c r="T27" t="str">
        <f>VLOOKUP(Tabelle43[[#This Row],[Key]],'3. Unique Results'!A:X,20,FALSE)</f>
        <v/>
      </c>
      <c r="U27" t="str">
        <f>VLOOKUP(Tabelle43[[#This Row],[Key]],'3. Unique Results'!A:X,21,FALSE)</f>
        <v/>
      </c>
      <c r="V27" t="str">
        <f>VLOOKUP(Tabelle43[[#This Row],[Key]],'3. Unique Results'!A:X,22,FALSE)</f>
        <v/>
      </c>
      <c r="W27" t="str">
        <f>VLOOKUP(Tabelle43[[#This Row],[Key]],'3. Unique Results'!A:X,23,FALSE)</f>
        <v/>
      </c>
    </row>
    <row r="28" spans="1:23">
      <c r="A28" t="s">
        <v>4449</v>
      </c>
      <c r="B28" t="str">
        <f>VLOOKUP(Tabelle43[[#This Row],[Key]],'3. Unique Results'!A:X,2,FALSE)</f>
        <v>conferencePaper</v>
      </c>
      <c r="C28">
        <f>VLOOKUP(Tabelle43[[#This Row],[Key]],'3. Unique Results'!A:X,3,FALSE)</f>
        <v>2022</v>
      </c>
      <c r="D28" t="str">
        <f>VLOOKUP(Tabelle43[[#This Row],[Key]],'3. Unique Results'!A:X,4,FALSE)</f>
        <v>Moin, Armin; Challenger, Moharram; Badii, Atta; Günnemann, Stephan</v>
      </c>
      <c r="E28" t="str">
        <f>VLOOKUP(Tabelle43[[#This Row],[Key]],'3. Unique Results'!A:X,5,FALSE)</f>
        <v>Towards Model-Driven Engineering for Quantum AI</v>
      </c>
      <c r="F28" t="str">
        <f>VLOOKUP(Tabelle43[[#This Row],[Key]],'3. Unique Results'!A:X,6,FALSE)</f>
        <v>52. Jahrestagung der Gesellschaft für Informatik, INFORMATIK 2022, Informatik in den Naturwissenschaften, 26. - 30. September 2022, Hamburg</v>
      </c>
      <c r="G28" t="str">
        <f>VLOOKUP(Tabelle43[[#This Row],[Key]],'3. Unique Results'!A:X,7,FALSE)</f>
        <v/>
      </c>
      <c r="H28" t="str">
        <f>VLOOKUP(Tabelle43[[#This Row],[Key]],'3. Unique Results'!A:X,8,FALSE)</f>
        <v/>
      </c>
      <c r="I28" t="str">
        <f>VLOOKUP(Tabelle43[[#This Row],[Key]],'3. Unique Results'!A:X,9,FALSE)</f>
        <v>10.18420/inf2022_95</v>
      </c>
      <c r="J28" t="str">
        <f>VLOOKUP(Tabelle43[[#This Row],[Key]],'3. Unique Results'!A:X,10,FALSE)</f>
        <v>https://doi.org/10.18420/inf2022\_95</v>
      </c>
      <c r="K28" t="str">
        <f>VLOOKUP(Tabelle43[[#This Row],[Key]],'3. Unique Results'!A:X,11,FALSE)</f>
        <v>2022</v>
      </c>
      <c r="L28">
        <f>VLOOKUP(Tabelle43[[#This Row],[Key]],'3. Unique Results'!A:X,12,FALSE)</f>
        <v>44887.363807870373</v>
      </c>
      <c r="M28" s="17">
        <f>VLOOKUP(Tabelle43[[#This Row],[Key]],'3. Unique Results'!A:X,13,FALSE)</f>
        <v>44887.363807870373</v>
      </c>
      <c r="N28" s="17">
        <f>VLOOKUP(Tabelle43[[#This Row],[Key]],'3. Unique Results'!A:X,14,FALSE)</f>
        <v>0</v>
      </c>
      <c r="O28" t="str">
        <f>VLOOKUP(Tabelle43[[#This Row],[Key]],'3. Unique Results'!A:X,15,FALSE)</f>
        <v>1121–1131</v>
      </c>
      <c r="P28" t="str">
        <f>VLOOKUP(Tabelle43[[#This Row],[Key]],'3. Unique Results'!A:X,16,FALSE)</f>
        <v/>
      </c>
      <c r="Q28" t="str">
        <f>VLOOKUP(Tabelle43[[#This Row],[Key]],'3. Unique Results'!A:X,17,FALSE)</f>
        <v>P-326</v>
      </c>
      <c r="R28" t="str">
        <f>VLOOKUP(Tabelle43[[#This Row],[Key]],'3. Unique Results'!A:X,18,FALSE)</f>
        <v/>
      </c>
      <c r="S28" t="str">
        <f>VLOOKUP(Tabelle43[[#This Row],[Key]],'3. Unique Results'!A:X,19,FALSE)</f>
        <v/>
      </c>
      <c r="T28" t="str">
        <f>VLOOKUP(Tabelle43[[#This Row],[Key]],'3. Unique Results'!A:X,20,FALSE)</f>
        <v>Gesellschaft für Informatik, Bonn</v>
      </c>
      <c r="U28" t="str">
        <f>VLOOKUP(Tabelle43[[#This Row],[Key]],'3. Unique Results'!A:X,21,FALSE)</f>
        <v/>
      </c>
      <c r="V28" t="str">
        <f>VLOOKUP(Tabelle43[[#This Row],[Key]],'3. Unique Results'!A:X,22,FALSE)</f>
        <v/>
      </c>
      <c r="W28" t="str">
        <f>VLOOKUP(Tabelle43[[#This Row],[Key]],'3. Unique Results'!A:X,23,FALSE)</f>
        <v/>
      </c>
    </row>
    <row r="29" spans="1:23">
      <c r="A29" t="s">
        <v>4452</v>
      </c>
      <c r="B29" t="str">
        <f>VLOOKUP(Tabelle43[[#This Row],[Key]],'3. Unique Results'!A:X,2,FALSE)</f>
        <v>journalArticle</v>
      </c>
      <c r="C29">
        <f>VLOOKUP(Tabelle43[[#This Row],[Key]],'3. Unique Results'!A:X,3,FALSE)</f>
        <v>2022</v>
      </c>
      <c r="D29" t="str">
        <f>VLOOKUP(Tabelle43[[#This Row],[Key]],'3. Unique Results'!A:X,4,FALSE)</f>
        <v>Moin, Armin; Challenger, Moharram; Badii, Atta; Günnemann, Stephan</v>
      </c>
      <c r="E29" t="str">
        <f>VLOOKUP(Tabelle43[[#This Row],[Key]],'3. Unique Results'!A:X,5,FALSE)</f>
        <v>Supporting AI Engineering on the IoT Edge through Model-Driven TinyML</v>
      </c>
      <c r="F29" t="str">
        <f>VLOOKUP(Tabelle43[[#This Row],[Key]],'3. Unique Results'!A:X,6,FALSE)</f>
        <v>46th IEEE Annual Computers, Software, and Applications Conferenc, COMPSAC 2022, Los Alamitos, CA, USA, June 27 - July 1, 2022</v>
      </c>
      <c r="G29" t="str">
        <f>VLOOKUP(Tabelle43[[#This Row],[Key]],'3. Unique Results'!A:X,7,FALSE)</f>
        <v/>
      </c>
      <c r="H29" t="str">
        <f>VLOOKUP(Tabelle43[[#This Row],[Key]],'3. Unique Results'!A:X,8,FALSE)</f>
        <v/>
      </c>
      <c r="I29" t="str">
        <f>VLOOKUP(Tabelle43[[#This Row],[Key]],'3. Unique Results'!A:X,9,FALSE)</f>
        <v>10.1109/COMPSAC54236.2022.00140</v>
      </c>
      <c r="J29" t="str">
        <f>VLOOKUP(Tabelle43[[#This Row],[Key]],'3. Unique Results'!A:X,10,FALSE)</f>
        <v>https://doi.org/10.1109/COMPSAC54236.2022.00140</v>
      </c>
      <c r="K29" t="str">
        <f>VLOOKUP(Tabelle43[[#This Row],[Key]],'3. Unique Results'!A:X,11,FALSE)</f>
        <v>2022</v>
      </c>
      <c r="L29">
        <f>VLOOKUP(Tabelle43[[#This Row],[Key]],'3. Unique Results'!A:X,12,FALSE)</f>
        <v>44887.363807870373</v>
      </c>
      <c r="M29" s="17">
        <f>VLOOKUP(Tabelle43[[#This Row],[Key]],'3. Unique Results'!A:X,13,FALSE)</f>
        <v>44887.363807870373</v>
      </c>
      <c r="N29" s="17">
        <f>VLOOKUP(Tabelle43[[#This Row],[Key]],'3. Unique Results'!A:X,14,FALSE)</f>
        <v>0</v>
      </c>
      <c r="O29" t="str">
        <f>VLOOKUP(Tabelle43[[#This Row],[Key]],'3. Unique Results'!A:X,15,FALSE)</f>
        <v>884–893</v>
      </c>
      <c r="P29" t="str">
        <f>VLOOKUP(Tabelle43[[#This Row],[Key]],'3. Unique Results'!A:X,16,FALSE)</f>
        <v/>
      </c>
      <c r="Q29" t="str">
        <f>VLOOKUP(Tabelle43[[#This Row],[Key]],'3. Unique Results'!A:X,17,FALSE)</f>
        <v/>
      </c>
      <c r="R29" t="str">
        <f>VLOOKUP(Tabelle43[[#This Row],[Key]],'3. Unique Results'!A:X,18,FALSE)</f>
        <v/>
      </c>
      <c r="S29" t="str">
        <f>VLOOKUP(Tabelle43[[#This Row],[Key]],'3. Unique Results'!A:X,19,FALSE)</f>
        <v/>
      </c>
      <c r="T29" t="str">
        <f>VLOOKUP(Tabelle43[[#This Row],[Key]],'3. Unique Results'!A:X,20,FALSE)</f>
        <v/>
      </c>
      <c r="U29" t="str">
        <f>VLOOKUP(Tabelle43[[#This Row],[Key]],'3. Unique Results'!A:X,21,FALSE)</f>
        <v/>
      </c>
      <c r="V29" t="str">
        <f>VLOOKUP(Tabelle43[[#This Row],[Key]],'3. Unique Results'!A:X,22,FALSE)</f>
        <v/>
      </c>
      <c r="W29" t="str">
        <f>VLOOKUP(Tabelle43[[#This Row],[Key]],'3. Unique Results'!A:X,23,FALSE)</f>
        <v/>
      </c>
    </row>
    <row r="30" spans="1:23">
      <c r="A30" t="s">
        <v>4450</v>
      </c>
      <c r="B30" t="str">
        <f>VLOOKUP(Tabelle43[[#This Row],[Key]],'3. Unique Results'!A:X,2,FALSE)</f>
        <v>conferencePaper</v>
      </c>
      <c r="C30">
        <f>VLOOKUP(Tabelle43[[#This Row],[Key]],'3. Unique Results'!A:X,3,FALSE)</f>
        <v>2021</v>
      </c>
      <c r="D30" t="str">
        <f>VLOOKUP(Tabelle43[[#This Row],[Key]],'3. Unique Results'!A:X,4,FALSE)</f>
        <v>Moin, Armin; Mituca, Andrei; Badii, Atta; Günnemann, Stephan</v>
      </c>
      <c r="E30" t="str">
        <f>VLOOKUP(Tabelle43[[#This Row],[Key]],'3. Unique Results'!A:X,5,FALSE)</f>
        <v>ML-Quadrat &amp; DriotData: A Model-Driven Engineering Tool and a Low-Code Platform for Smart IoT Services</v>
      </c>
      <c r="F30" t="str">
        <f>VLOOKUP(Tabelle43[[#This Row],[Key]],'3. Unique Results'!A:X,6,FALSE)</f>
        <v>CoRR</v>
      </c>
      <c r="G30" t="str">
        <f>VLOOKUP(Tabelle43[[#This Row],[Key]],'3. Unique Results'!A:X,7,FALSE)</f>
        <v/>
      </c>
      <c r="H30" t="str">
        <f>VLOOKUP(Tabelle43[[#This Row],[Key]],'3. Unique Results'!A:X,8,FALSE)</f>
        <v/>
      </c>
      <c r="I30" t="str">
        <f>VLOOKUP(Tabelle43[[#This Row],[Key]],'3. Unique Results'!A:X,9,FALSE)</f>
        <v/>
      </c>
      <c r="J30" t="str">
        <f>VLOOKUP(Tabelle43[[#This Row],[Key]],'3. Unique Results'!A:X,10,FALSE)</f>
        <v>https://arxiv.org/abs/2107.02692</v>
      </c>
      <c r="K30" t="str">
        <f>VLOOKUP(Tabelle43[[#This Row],[Key]],'3. Unique Results'!A:X,11,FALSE)</f>
        <v>2021</v>
      </c>
      <c r="L30">
        <f>VLOOKUP(Tabelle43[[#This Row],[Key]],'3. Unique Results'!A:X,12,FALSE)</f>
        <v>44887.363807870373</v>
      </c>
      <c r="M30" s="17">
        <f>VLOOKUP(Tabelle43[[#This Row],[Key]],'3. Unique Results'!A:X,13,FALSE)</f>
        <v>44887.363807870373</v>
      </c>
      <c r="N30" s="17">
        <f>VLOOKUP(Tabelle43[[#This Row],[Key]],'3. Unique Results'!A:X,14,FALSE)</f>
        <v>0</v>
      </c>
      <c r="O30" t="str">
        <f>VLOOKUP(Tabelle43[[#This Row],[Key]],'3. Unique Results'!A:X,15,FALSE)</f>
        <v/>
      </c>
      <c r="P30" t="str">
        <f>VLOOKUP(Tabelle43[[#This Row],[Key]],'3. Unique Results'!A:X,16,FALSE)</f>
        <v/>
      </c>
      <c r="Q30" t="str">
        <f>VLOOKUP(Tabelle43[[#This Row],[Key]],'3. Unique Results'!A:X,17,FALSE)</f>
        <v>abs/2107.02692</v>
      </c>
      <c r="R30" t="str">
        <f>VLOOKUP(Tabelle43[[#This Row],[Key]],'3. Unique Results'!A:X,18,FALSE)</f>
        <v/>
      </c>
      <c r="S30" t="str">
        <f>VLOOKUP(Tabelle43[[#This Row],[Key]],'3. Unique Results'!A:X,19,FALSE)</f>
        <v/>
      </c>
      <c r="T30" t="str">
        <f>VLOOKUP(Tabelle43[[#This Row],[Key]],'3. Unique Results'!A:X,20,FALSE)</f>
        <v/>
      </c>
      <c r="U30" t="str">
        <f>VLOOKUP(Tabelle43[[#This Row],[Key]],'3. Unique Results'!A:X,21,FALSE)</f>
        <v/>
      </c>
      <c r="V30" t="str">
        <f>VLOOKUP(Tabelle43[[#This Row],[Key]],'3. Unique Results'!A:X,22,FALSE)</f>
        <v/>
      </c>
      <c r="W30" t="str">
        <f>VLOOKUP(Tabelle43[[#This Row],[Key]],'3. Unique Results'!A:X,23,FALSE)</f>
        <v/>
      </c>
    </row>
    <row r="31" spans="1:23">
      <c r="A31" t="s">
        <v>4451</v>
      </c>
      <c r="B31" t="str">
        <f>VLOOKUP(Tabelle43[[#This Row],[Key]],'3. Unique Results'!A:X,2,FALSE)</f>
        <v>conferencePaper</v>
      </c>
      <c r="C31">
        <f>VLOOKUP(Tabelle43[[#This Row],[Key]],'3. Unique Results'!A:X,3,FALSE)</f>
        <v>2018</v>
      </c>
      <c r="D31" t="str">
        <f>VLOOKUP(Tabelle43[[#This Row],[Key]],'3. Unique Results'!A:X,4,FALSE)</f>
        <v>Moin, Armin; Rössler, Stephan; Günnemann, Stephan</v>
      </c>
      <c r="E31" t="str">
        <f>VLOOKUP(Tabelle43[[#This Row],[Key]],'3. Unique Results'!A:X,5,FALSE)</f>
        <v>ThingML+: Augmenting Model-Driven Software Engineering for the Internet of Things with Machine Learning</v>
      </c>
      <c r="F31" t="str">
        <f>VLOOKUP(Tabelle43[[#This Row],[Key]],'3. Unique Results'!A:X,6,FALSE)</f>
        <v>Proceedings of MODELS 2018 Workshops: ModComp, MRT, OCL, FlexMDE, EXE, COMMitMDE, MDETools, GEMOC, MORSE, MDE4IoT, MDEbug, MoDeVVa, ME, MULTI, HuFaMo, AMMoRe, PAINS co-located with ACM/IEEE 21st International Conference on Model Driven Engineering Languages and Systems (MODELS 2018), Copenhagen, Denmark, October, 14, 2018</v>
      </c>
      <c r="G31" t="str">
        <f>VLOOKUP(Tabelle43[[#This Row],[Key]],'3. Unique Results'!A:X,7,FALSE)</f>
        <v/>
      </c>
      <c r="H31" t="str">
        <f>VLOOKUP(Tabelle43[[#This Row],[Key]],'3. Unique Results'!A:X,8,FALSE)</f>
        <v/>
      </c>
      <c r="I31" t="str">
        <f>VLOOKUP(Tabelle43[[#This Row],[Key]],'3. Unique Results'!A:X,9,FALSE)</f>
        <v/>
      </c>
      <c r="J31" t="str">
        <f>VLOOKUP(Tabelle43[[#This Row],[Key]],'3. Unique Results'!A:X,10,FALSE)</f>
        <v>http://ceur-ws.org/Vol-2245/mde4iot\_paper\_5.pdf</v>
      </c>
      <c r="K31" t="str">
        <f>VLOOKUP(Tabelle43[[#This Row],[Key]],'3. Unique Results'!A:X,11,FALSE)</f>
        <v>2018</v>
      </c>
      <c r="L31">
        <f>VLOOKUP(Tabelle43[[#This Row],[Key]],'3. Unique Results'!A:X,12,FALSE)</f>
        <v>44887.363807870373</v>
      </c>
      <c r="M31" s="17">
        <f>VLOOKUP(Tabelle43[[#This Row],[Key]],'3. Unique Results'!A:X,13,FALSE)</f>
        <v>44887.363807870373</v>
      </c>
      <c r="N31" s="17">
        <f>VLOOKUP(Tabelle43[[#This Row],[Key]],'3. Unique Results'!A:X,14,FALSE)</f>
        <v>0</v>
      </c>
      <c r="O31" t="str">
        <f>VLOOKUP(Tabelle43[[#This Row],[Key]],'3. Unique Results'!A:X,15,FALSE)</f>
        <v>521–523</v>
      </c>
      <c r="P31" t="str">
        <f>VLOOKUP(Tabelle43[[#This Row],[Key]],'3. Unique Results'!A:X,16,FALSE)</f>
        <v/>
      </c>
      <c r="Q31" t="str">
        <f>VLOOKUP(Tabelle43[[#This Row],[Key]],'3. Unique Results'!A:X,17,FALSE)</f>
        <v>2245</v>
      </c>
      <c r="R31" t="str">
        <f>VLOOKUP(Tabelle43[[#This Row],[Key]],'3. Unique Results'!A:X,18,FALSE)</f>
        <v/>
      </c>
      <c r="S31" t="str">
        <f>VLOOKUP(Tabelle43[[#This Row],[Key]],'3. Unique Results'!A:X,19,FALSE)</f>
        <v/>
      </c>
      <c r="T31" t="str">
        <f>VLOOKUP(Tabelle43[[#This Row],[Key]],'3. Unique Results'!A:X,20,FALSE)</f>
        <v>CEUR-WS.org</v>
      </c>
      <c r="U31" t="str">
        <f>VLOOKUP(Tabelle43[[#This Row],[Key]],'3. Unique Results'!A:X,21,FALSE)</f>
        <v/>
      </c>
      <c r="V31" t="str">
        <f>VLOOKUP(Tabelle43[[#This Row],[Key]],'3. Unique Results'!A:X,22,FALSE)</f>
        <v/>
      </c>
      <c r="W31" t="str">
        <f>VLOOKUP(Tabelle43[[#This Row],[Key]],'3. Unique Results'!A:X,23,FALSE)</f>
        <v/>
      </c>
    </row>
    <row r="32" spans="1:23">
      <c r="A32" t="s">
        <v>4464</v>
      </c>
      <c r="B32" t="str">
        <f>VLOOKUP(Tabelle43[[#This Row],[Key]],'3. Unique Results'!A:X,2,FALSE)</f>
        <v>conferencePaper</v>
      </c>
      <c r="C32">
        <f>VLOOKUP(Tabelle43[[#This Row],[Key]],'3. Unique Results'!A:X,3,FALSE)</f>
        <v>2020</v>
      </c>
      <c r="D32" t="str">
        <f>VLOOKUP(Tabelle43[[#This Row],[Key]],'3. Unique Results'!A:X,4,FALSE)</f>
        <v>Moin, Armin; Rössler, Stephan; Sayih, Marouane; Günnemann, Stephan</v>
      </c>
      <c r="E32" t="str">
        <f>VLOOKUP(Tabelle43[[#This Row],[Key]],'3. Unique Results'!A:X,5,FALSE)</f>
        <v>From Things' Modeling Language (ThingML) to Things' Machine Learning (ThingML2)</v>
      </c>
      <c r="F32" t="str">
        <f>VLOOKUP(Tabelle43[[#This Row],[Key]],'3. Unique Results'!A:X,6,FALSE)</f>
        <v>Proceedings of the 23rd ACM/IEEE International Conference on Model Driven Engineering Languages and Systems: Companion Proceedings</v>
      </c>
      <c r="G32" t="str">
        <f>VLOOKUP(Tabelle43[[#This Row],[Key]],'3. Unique Results'!A:X,7,FALSE)</f>
        <v>978-1-4503-8135-2</v>
      </c>
      <c r="H32" t="str">
        <f>VLOOKUP(Tabelle43[[#This Row],[Key]],'3. Unique Results'!A:X,8,FALSE)</f>
        <v/>
      </c>
      <c r="I32" t="str">
        <f>VLOOKUP(Tabelle43[[#This Row],[Key]],'3. Unique Results'!A:X,9,FALSE)</f>
        <v>10.1145/3417990.3420057</v>
      </c>
      <c r="J32" t="str">
        <f>VLOOKUP(Tabelle43[[#This Row],[Key]],'3. Unique Results'!A:X,10,FALSE)</f>
        <v>https://doi.org/10.1145/3417990.3420057</v>
      </c>
      <c r="K32" t="str">
        <f>VLOOKUP(Tabelle43[[#This Row],[Key]],'3. Unique Results'!A:X,11,FALSE)</f>
        <v>2020</v>
      </c>
      <c r="L32">
        <f>VLOOKUP(Tabelle43[[#This Row],[Key]],'3. Unique Results'!A:X,12,FALSE)</f>
        <v>44887.363807870373</v>
      </c>
      <c r="M32" s="17">
        <f>VLOOKUP(Tabelle43[[#This Row],[Key]],'3. Unique Results'!A:X,13,FALSE)</f>
        <v>44887.363807870373</v>
      </c>
      <c r="N32" s="17">
        <f>VLOOKUP(Tabelle43[[#This Row],[Key]],'3. Unique Results'!A:X,14,FALSE)</f>
        <v>0</v>
      </c>
      <c r="O32" t="str">
        <f>VLOOKUP(Tabelle43[[#This Row],[Key]],'3. Unique Results'!A:X,15,FALSE)</f>
        <v/>
      </c>
      <c r="P32" t="str">
        <f>VLOOKUP(Tabelle43[[#This Row],[Key]],'3. Unique Results'!A:X,16,FALSE)</f>
        <v/>
      </c>
      <c r="Q32" t="str">
        <f>VLOOKUP(Tabelle43[[#This Row],[Key]],'3. Unique Results'!A:X,17,FALSE)</f>
        <v/>
      </c>
      <c r="R32" t="str">
        <f>VLOOKUP(Tabelle43[[#This Row],[Key]],'3. Unique Results'!A:X,18,FALSE)</f>
        <v/>
      </c>
      <c r="S32" t="str">
        <f>VLOOKUP(Tabelle43[[#This Row],[Key]],'3. Unique Results'!A:X,19,FALSE)</f>
        <v/>
      </c>
      <c r="T32" t="str">
        <f>VLOOKUP(Tabelle43[[#This Row],[Key]],'3. Unique Results'!A:X,20,FALSE)</f>
        <v>Association for Computing Machinery</v>
      </c>
      <c r="U32" t="str">
        <f>VLOOKUP(Tabelle43[[#This Row],[Key]],'3. Unique Results'!A:X,21,FALSE)</f>
        <v>New York, NY, USA</v>
      </c>
      <c r="V32" t="str">
        <f>VLOOKUP(Tabelle43[[#This Row],[Key]],'3. Unique Results'!A:X,22,FALSE)</f>
        <v/>
      </c>
      <c r="W32" t="str">
        <f>VLOOKUP(Tabelle43[[#This Row],[Key]],'3. Unique Results'!A:X,23,FALSE)</f>
        <v/>
      </c>
    </row>
    <row r="33" spans="1:23">
      <c r="A33" t="s">
        <v>4462</v>
      </c>
      <c r="B33" t="str">
        <f>VLOOKUP(Tabelle43[[#This Row],[Key]],'3. Unique Results'!A:X,2,FALSE)</f>
        <v>journalArticle</v>
      </c>
      <c r="C33">
        <f>VLOOKUP(Tabelle43[[#This Row],[Key]],'3. Unique Results'!A:X,3,FALSE)</f>
        <v>2022</v>
      </c>
      <c r="D33" t="str">
        <f>VLOOKUP(Tabelle43[[#This Row],[Key]],'3. Unique Results'!A:X,4,FALSE)</f>
        <v>Morales, Sergio; Clarisó, Robert; Cabot, Jordi</v>
      </c>
      <c r="E33" t="str">
        <f>VLOOKUP(Tabelle43[[#This Row],[Key]],'3. Unique Results'!A:X,5,FALSE)</f>
        <v>Towards a DSL for AI Engineering Process Modeling</v>
      </c>
      <c r="F33" t="str">
        <f>VLOOKUP(Tabelle43[[#This Row],[Key]],'3. Unique Results'!A:X,6,FALSE)</f>
        <v>Product-Focused Software Process Improvement</v>
      </c>
      <c r="G33" t="str">
        <f>VLOOKUP(Tabelle43[[#This Row],[Key]],'3. Unique Results'!A:X,7,FALSE)</f>
        <v/>
      </c>
      <c r="H33" t="str">
        <f>VLOOKUP(Tabelle43[[#This Row],[Key]],'3. Unique Results'!A:X,8,FALSE)</f>
        <v/>
      </c>
      <c r="I33" t="str">
        <f>VLOOKUP(Tabelle43[[#This Row],[Key]],'3. Unique Results'!A:X,9,FALSE)</f>
        <v/>
      </c>
      <c r="J33" t="str">
        <f>VLOOKUP(Tabelle43[[#This Row],[Key]],'3. Unique Results'!A:X,10,FALSE)</f>
        <v>https://link.springer.com/10.1007/978-3-031-21388-5_4</v>
      </c>
      <c r="K33" t="str">
        <f>VLOOKUP(Tabelle43[[#This Row],[Key]],'3. Unique Results'!A:X,11,FALSE)</f>
        <v>2022</v>
      </c>
      <c r="L33">
        <f>VLOOKUP(Tabelle43[[#This Row],[Key]],'3. Unique Results'!A:X,12,FALSE)</f>
        <v>44887.363807870373</v>
      </c>
      <c r="M33" s="17">
        <f>VLOOKUP(Tabelle43[[#This Row],[Key]],'3. Unique Results'!A:X,13,FALSE)</f>
        <v>44887.363807870373</v>
      </c>
      <c r="N33" s="17">
        <f>VLOOKUP(Tabelle43[[#This Row],[Key]],'3. Unique Results'!A:X,14,FALSE)</f>
        <v>44886.597951388889</v>
      </c>
      <c r="O33" t="str">
        <f>VLOOKUP(Tabelle43[[#This Row],[Key]],'3. Unique Results'!A:X,15,FALSE)</f>
        <v>53-60</v>
      </c>
      <c r="P33" t="str">
        <f>VLOOKUP(Tabelle43[[#This Row],[Key]],'3. Unique Results'!A:X,16,FALSE)</f>
        <v/>
      </c>
      <c r="Q33" t="str">
        <f>VLOOKUP(Tabelle43[[#This Row],[Key]],'3. Unique Results'!A:X,17,FALSE)</f>
        <v>13709</v>
      </c>
      <c r="R33" t="str">
        <f>VLOOKUP(Tabelle43[[#This Row],[Key]],'3. Unique Results'!A:X,18,FALSE)</f>
        <v/>
      </c>
      <c r="S33" t="str">
        <f>VLOOKUP(Tabelle43[[#This Row],[Key]],'3. Unique Results'!A:X,19,FALSE)</f>
        <v/>
      </c>
      <c r="T33" t="str">
        <f>VLOOKUP(Tabelle43[[#This Row],[Key]],'3. Unique Results'!A:X,20,FALSE)</f>
        <v/>
      </c>
      <c r="U33" t="str">
        <f>VLOOKUP(Tabelle43[[#This Row],[Key]],'3. Unique Results'!A:X,21,FALSE)</f>
        <v/>
      </c>
      <c r="V33" t="str">
        <f>VLOOKUP(Tabelle43[[#This Row],[Key]],'3. Unique Results'!A:X,22,FALSE)</f>
        <v>en</v>
      </c>
      <c r="W33" t="str">
        <f>VLOOKUP(Tabelle43[[#This Row],[Key]],'3. Unique Results'!A:X,23,FALSE)</f>
        <v>DOI.org (Crossref)</v>
      </c>
    </row>
    <row r="34" spans="1:23">
      <c r="A34" t="s">
        <v>4456</v>
      </c>
      <c r="B34" t="str">
        <f>VLOOKUP(Tabelle43[[#This Row],[Key]],'3. Unique Results'!A:X,2,FALSE)</f>
        <v>conferencePaper</v>
      </c>
      <c r="C34">
        <f>VLOOKUP(Tabelle43[[#This Row],[Key]],'3. Unique Results'!A:X,3,FALSE)</f>
        <v>2016</v>
      </c>
      <c r="D34" t="str">
        <f>VLOOKUP(Tabelle43[[#This Row],[Key]],'3. Unique Results'!A:X,4,FALSE)</f>
        <v>Portugal, Ivens; Alencar, Paulo S. C.; Cowan, Donald D.</v>
      </c>
      <c r="E34" t="str">
        <f>VLOOKUP(Tabelle43[[#This Row],[Key]],'3. Unique Results'!A:X,5,FALSE)</f>
        <v>A Preliminary Survey on Domain-Specific Languages for Machine Learning in Big Data</v>
      </c>
      <c r="F34" t="str">
        <f>VLOOKUP(Tabelle43[[#This Row],[Key]],'3. Unique Results'!A:X,6,FALSE)</f>
        <v>2016 IEEE International Conference on Software Science, Technology and Engineering, SWSTE 2016, Beer Sheva, Israel, June 23-24, 2016</v>
      </c>
      <c r="G34" t="str">
        <f>VLOOKUP(Tabelle43[[#This Row],[Key]],'3. Unique Results'!A:X,7,FALSE)</f>
        <v/>
      </c>
      <c r="H34" t="str">
        <f>VLOOKUP(Tabelle43[[#This Row],[Key]],'3. Unique Results'!A:X,8,FALSE)</f>
        <v/>
      </c>
      <c r="I34" t="str">
        <f>VLOOKUP(Tabelle43[[#This Row],[Key]],'3. Unique Results'!A:X,9,FALSE)</f>
        <v>10.1109/SWSTE.2016.23</v>
      </c>
      <c r="J34" t="str">
        <f>VLOOKUP(Tabelle43[[#This Row],[Key]],'3. Unique Results'!A:X,10,FALSE)</f>
        <v>https://doi.org/10.1109/SWSTE.2016.23</v>
      </c>
      <c r="K34" t="str">
        <f>VLOOKUP(Tabelle43[[#This Row],[Key]],'3. Unique Results'!A:X,11,FALSE)</f>
        <v>2016</v>
      </c>
      <c r="L34">
        <f>VLOOKUP(Tabelle43[[#This Row],[Key]],'3. Unique Results'!A:X,12,FALSE)</f>
        <v>44887.363807870373</v>
      </c>
      <c r="M34" s="17">
        <f>VLOOKUP(Tabelle43[[#This Row],[Key]],'3. Unique Results'!A:X,13,FALSE)</f>
        <v>44887.363807870373</v>
      </c>
      <c r="N34" s="17">
        <f>VLOOKUP(Tabelle43[[#This Row],[Key]],'3. Unique Results'!A:X,14,FALSE)</f>
        <v>0</v>
      </c>
      <c r="O34" t="str">
        <f>VLOOKUP(Tabelle43[[#This Row],[Key]],'3. Unique Results'!A:X,15,FALSE)</f>
        <v>108–110</v>
      </c>
      <c r="P34" t="str">
        <f>VLOOKUP(Tabelle43[[#This Row],[Key]],'3. Unique Results'!A:X,16,FALSE)</f>
        <v/>
      </c>
      <c r="Q34" t="str">
        <f>VLOOKUP(Tabelle43[[#This Row],[Key]],'3. Unique Results'!A:X,17,FALSE)</f>
        <v/>
      </c>
      <c r="R34" t="str">
        <f>VLOOKUP(Tabelle43[[#This Row],[Key]],'3. Unique Results'!A:X,18,FALSE)</f>
        <v/>
      </c>
      <c r="S34" t="str">
        <f>VLOOKUP(Tabelle43[[#This Row],[Key]],'3. Unique Results'!A:X,19,FALSE)</f>
        <v/>
      </c>
      <c r="T34" t="str">
        <f>VLOOKUP(Tabelle43[[#This Row],[Key]],'3. Unique Results'!A:X,20,FALSE)</f>
        <v>IEEE</v>
      </c>
      <c r="U34" t="str">
        <f>VLOOKUP(Tabelle43[[#This Row],[Key]],'3. Unique Results'!A:X,21,FALSE)</f>
        <v/>
      </c>
      <c r="V34" t="str">
        <f>VLOOKUP(Tabelle43[[#This Row],[Key]],'3. Unique Results'!A:X,22,FALSE)</f>
        <v/>
      </c>
      <c r="W34" t="str">
        <f>VLOOKUP(Tabelle43[[#This Row],[Key]],'3. Unique Results'!A:X,23,FALSE)</f>
        <v/>
      </c>
    </row>
    <row r="35" spans="1:23">
      <c r="A35" t="s">
        <v>4434</v>
      </c>
      <c r="B35" t="str">
        <f>VLOOKUP(Tabelle43[[#This Row],[Key]],'3. Unique Results'!A:X,2,FALSE)</f>
        <v>conferencePaper</v>
      </c>
      <c r="C35">
        <f>VLOOKUP(Tabelle43[[#This Row],[Key]],'3. Unique Results'!A:X,3,FALSE)</f>
        <v>2021</v>
      </c>
      <c r="D35" t="str">
        <f>VLOOKUP(Tabelle43[[#This Row],[Key]],'3. Unique Results'!A:X,4,FALSE)</f>
        <v>Ries, Benoît; Guelfi, Nicolas; Jahic, Benjamin</v>
      </c>
      <c r="E35" t="str">
        <f>VLOOKUP(Tabelle43[[#This Row],[Key]],'3. Unique Results'!A:X,5,FALSE)</f>
        <v>An MDE Method for Improving Deep Learning Dataset Requirements Engineering using Alloy and UML</v>
      </c>
      <c r="F35" t="str">
        <f>VLOOKUP(Tabelle43[[#This Row],[Key]],'3. Unique Results'!A:X,6,FALSE)</f>
        <v>Proceedings of the 9th International Conference on Model-Driven Engineering and Software Development, MODELSWARD 2021, Online Streaming, February 8-10, 2021</v>
      </c>
      <c r="G35" t="str">
        <f>VLOOKUP(Tabelle43[[#This Row],[Key]],'3. Unique Results'!A:X,7,FALSE)</f>
        <v/>
      </c>
      <c r="H35" t="str">
        <f>VLOOKUP(Tabelle43[[#This Row],[Key]],'3. Unique Results'!A:X,8,FALSE)</f>
        <v/>
      </c>
      <c r="I35" t="str">
        <f>VLOOKUP(Tabelle43[[#This Row],[Key]],'3. Unique Results'!A:X,9,FALSE)</f>
        <v>10.5220/0010216600410052</v>
      </c>
      <c r="J35" t="str">
        <f>VLOOKUP(Tabelle43[[#This Row],[Key]],'3. Unique Results'!A:X,10,FALSE)</f>
        <v>https://doi.org/10.5220/0010216600410052</v>
      </c>
      <c r="K35" t="str">
        <f>VLOOKUP(Tabelle43[[#This Row],[Key]],'3. Unique Results'!A:X,11,FALSE)</f>
        <v>2021</v>
      </c>
      <c r="L35">
        <f>VLOOKUP(Tabelle43[[#This Row],[Key]],'3. Unique Results'!A:X,12,FALSE)</f>
        <v>44887.363807870373</v>
      </c>
      <c r="M35" s="17">
        <f>VLOOKUP(Tabelle43[[#This Row],[Key]],'3. Unique Results'!A:X,13,FALSE)</f>
        <v>44887.363807870373</v>
      </c>
      <c r="N35" s="17">
        <f>VLOOKUP(Tabelle43[[#This Row],[Key]],'3. Unique Results'!A:X,14,FALSE)</f>
        <v>0</v>
      </c>
      <c r="O35" t="str">
        <f>VLOOKUP(Tabelle43[[#This Row],[Key]],'3. Unique Results'!A:X,15,FALSE)</f>
        <v>41–52</v>
      </c>
      <c r="P35" t="str">
        <f>VLOOKUP(Tabelle43[[#This Row],[Key]],'3. Unique Results'!A:X,16,FALSE)</f>
        <v/>
      </c>
      <c r="Q35" t="str">
        <f>VLOOKUP(Tabelle43[[#This Row],[Key]],'3. Unique Results'!A:X,17,FALSE)</f>
        <v/>
      </c>
      <c r="R35" t="str">
        <f>VLOOKUP(Tabelle43[[#This Row],[Key]],'3. Unique Results'!A:X,18,FALSE)</f>
        <v/>
      </c>
      <c r="S35" t="str">
        <f>VLOOKUP(Tabelle43[[#This Row],[Key]],'3. Unique Results'!A:X,19,FALSE)</f>
        <v/>
      </c>
      <c r="T35" t="str">
        <f>VLOOKUP(Tabelle43[[#This Row],[Key]],'3. Unique Results'!A:X,20,FALSE)</f>
        <v>SCITEPRESS</v>
      </c>
      <c r="U35" t="str">
        <f>VLOOKUP(Tabelle43[[#This Row],[Key]],'3. Unique Results'!A:X,21,FALSE)</f>
        <v/>
      </c>
      <c r="V35" t="str">
        <f>VLOOKUP(Tabelle43[[#This Row],[Key]],'3. Unique Results'!A:X,22,FALSE)</f>
        <v/>
      </c>
      <c r="W35" t="str">
        <f>VLOOKUP(Tabelle43[[#This Row],[Key]],'3. Unique Results'!A:X,23,FALSE)</f>
        <v/>
      </c>
    </row>
    <row r="36" spans="1:23">
      <c r="A36" t="s">
        <v>4458</v>
      </c>
      <c r="B36" t="str">
        <f>VLOOKUP(Tabelle43[[#This Row],[Key]],'3. Unique Results'!A:X,2,FALSE)</f>
        <v>journalArticle</v>
      </c>
      <c r="C36">
        <f>VLOOKUP(Tabelle43[[#This Row],[Key]],'3. Unique Results'!A:X,3,FALSE)</f>
        <v>2018</v>
      </c>
      <c r="D36" t="str">
        <f>VLOOKUP(Tabelle43[[#This Row],[Key]],'3. Unique Results'!A:X,4,FALSE)</f>
        <v>Zhao, Tian; Huang, Xiaobing</v>
      </c>
      <c r="E36" t="str">
        <f>VLOOKUP(Tabelle43[[#This Row],[Key]],'3. Unique Results'!A:X,5,FALSE)</f>
        <v>Design and implementation of DeepDSL: A DSL for deep learning</v>
      </c>
      <c r="F36" t="str">
        <f>VLOOKUP(Tabelle43[[#This Row],[Key]],'3. Unique Results'!A:X,6,FALSE)</f>
        <v>Comput. Lang. Syst. Struct.</v>
      </c>
      <c r="G36" t="str">
        <f>VLOOKUP(Tabelle43[[#This Row],[Key]],'3. Unique Results'!A:X,7,FALSE)</f>
        <v/>
      </c>
      <c r="H36" t="str">
        <f>VLOOKUP(Tabelle43[[#This Row],[Key]],'3. Unique Results'!A:X,8,FALSE)</f>
        <v/>
      </c>
      <c r="I36" t="str">
        <f>VLOOKUP(Tabelle43[[#This Row],[Key]],'3. Unique Results'!A:X,9,FALSE)</f>
        <v>10.1016/j.cl.2018.04.004</v>
      </c>
      <c r="J36" t="str">
        <f>VLOOKUP(Tabelle43[[#This Row],[Key]],'3. Unique Results'!A:X,10,FALSE)</f>
        <v>https://doi.org/10.1016/j.cl.2018.04.004</v>
      </c>
      <c r="K36" t="str">
        <f>VLOOKUP(Tabelle43[[#This Row],[Key]],'3. Unique Results'!A:X,11,FALSE)</f>
        <v>2018</v>
      </c>
      <c r="L36">
        <f>VLOOKUP(Tabelle43[[#This Row],[Key]],'3. Unique Results'!A:X,12,FALSE)</f>
        <v>44887.363807870373</v>
      </c>
      <c r="M36" s="17">
        <f>VLOOKUP(Tabelle43[[#This Row],[Key]],'3. Unique Results'!A:X,13,FALSE)</f>
        <v>44887.363807870373</v>
      </c>
      <c r="N36" s="17">
        <f>VLOOKUP(Tabelle43[[#This Row],[Key]],'3. Unique Results'!A:X,14,FALSE)</f>
        <v>0</v>
      </c>
      <c r="O36" t="str">
        <f>VLOOKUP(Tabelle43[[#This Row],[Key]],'3. Unique Results'!A:X,15,FALSE)</f>
        <v>39–70</v>
      </c>
      <c r="P36" t="str">
        <f>VLOOKUP(Tabelle43[[#This Row],[Key]],'3. Unique Results'!A:X,16,FALSE)</f>
        <v/>
      </c>
      <c r="Q36" t="str">
        <f>VLOOKUP(Tabelle43[[#This Row],[Key]],'3. Unique Results'!A:X,17,FALSE)</f>
        <v>54</v>
      </c>
      <c r="R36" t="str">
        <f>VLOOKUP(Tabelle43[[#This Row],[Key]],'3. Unique Results'!A:X,18,FALSE)</f>
        <v/>
      </c>
      <c r="S36" t="str">
        <f>VLOOKUP(Tabelle43[[#This Row],[Key]],'3. Unique Results'!A:X,19,FALSE)</f>
        <v/>
      </c>
      <c r="T36" t="str">
        <f>VLOOKUP(Tabelle43[[#This Row],[Key]],'3. Unique Results'!A:X,20,FALSE)</f>
        <v/>
      </c>
      <c r="U36" t="str">
        <f>VLOOKUP(Tabelle43[[#This Row],[Key]],'3. Unique Results'!A:X,21,FALSE)</f>
        <v/>
      </c>
      <c r="V36" t="str">
        <f>VLOOKUP(Tabelle43[[#This Row],[Key]],'3. Unique Results'!A:X,22,FALSE)</f>
        <v/>
      </c>
      <c r="W36" t="str">
        <f>VLOOKUP(Tabelle43[[#This Row],[Key]],'3. Unique Results'!A:X,23,FALSE)</f>
        <v/>
      </c>
    </row>
    <row r="37" spans="1:23">
      <c r="A37" t="s">
        <v>4435</v>
      </c>
      <c r="B37" t="str">
        <f>VLOOKUP(Tabelle43[[#This Row],[Key]],'3. Unique Results'!A:X,2,FALSE)</f>
        <v>conferencePaper</v>
      </c>
      <c r="C37">
        <f>VLOOKUP(Tabelle43[[#This Row],[Key]],'3. Unique Results'!A:X,3,FALSE)</f>
        <v>2017</v>
      </c>
      <c r="D37" t="str">
        <f>VLOOKUP(Tabelle43[[#This Row],[Key]],'3. Unique Results'!A:X,4,FALSE)</f>
        <v>Zhao, Tian; Huang, Xiaobing; Cao, Yu</v>
      </c>
      <c r="E37" t="str">
        <f>VLOOKUP(Tabelle43[[#This Row],[Key]],'3. Unique Results'!A:X,5,FALSE)</f>
        <v>DeepDSL: A Compilation-based Domain-Specific Language for Deep Learning</v>
      </c>
      <c r="F37" t="str">
        <f>VLOOKUP(Tabelle43[[#This Row],[Key]],'3. Unique Results'!A:X,6,FALSE)</f>
        <v>5th International Conference on Learning Representations, ICLR 2017, Toulon, France, April 24-26, 2017, Conference Track Proceedings</v>
      </c>
      <c r="G37" t="str">
        <f>VLOOKUP(Tabelle43[[#This Row],[Key]],'3. Unique Results'!A:X,7,FALSE)</f>
        <v/>
      </c>
      <c r="H37" t="str">
        <f>VLOOKUP(Tabelle43[[#This Row],[Key]],'3. Unique Results'!A:X,8,FALSE)</f>
        <v/>
      </c>
      <c r="I37" t="str">
        <f>VLOOKUP(Tabelle43[[#This Row],[Key]],'3. Unique Results'!A:X,9,FALSE)</f>
        <v/>
      </c>
      <c r="J37" t="str">
        <f>VLOOKUP(Tabelle43[[#This Row],[Key]],'3. Unique Results'!A:X,10,FALSE)</f>
        <v>https://openreview.net/forum?id=Bks8cPcxe</v>
      </c>
      <c r="K37" t="str">
        <f>VLOOKUP(Tabelle43[[#This Row],[Key]],'3. Unique Results'!A:X,11,FALSE)</f>
        <v>2017</v>
      </c>
      <c r="L37">
        <f>VLOOKUP(Tabelle43[[#This Row],[Key]],'3. Unique Results'!A:X,12,FALSE)</f>
        <v>44887.363807870373</v>
      </c>
      <c r="M37" s="17">
        <f>VLOOKUP(Tabelle43[[#This Row],[Key]],'3. Unique Results'!A:X,13,FALSE)</f>
        <v>44887.363807870373</v>
      </c>
      <c r="N37" s="17">
        <f>VLOOKUP(Tabelle43[[#This Row],[Key]],'3. Unique Results'!A:X,14,FALSE)</f>
        <v>0</v>
      </c>
      <c r="O37" t="str">
        <f>VLOOKUP(Tabelle43[[#This Row],[Key]],'3. Unique Results'!A:X,15,FALSE)</f>
        <v/>
      </c>
      <c r="P37" t="str">
        <f>VLOOKUP(Tabelle43[[#This Row],[Key]],'3. Unique Results'!A:X,16,FALSE)</f>
        <v/>
      </c>
      <c r="Q37" t="str">
        <f>VLOOKUP(Tabelle43[[#This Row],[Key]],'3. Unique Results'!A:X,17,FALSE)</f>
        <v/>
      </c>
      <c r="R37" t="str">
        <f>VLOOKUP(Tabelle43[[#This Row],[Key]],'3. Unique Results'!A:X,18,FALSE)</f>
        <v/>
      </c>
      <c r="S37" t="str">
        <f>VLOOKUP(Tabelle43[[#This Row],[Key]],'3. Unique Results'!A:X,19,FALSE)</f>
        <v/>
      </c>
      <c r="T37" t="str">
        <f>VLOOKUP(Tabelle43[[#This Row],[Key]],'3. Unique Results'!A:X,20,FALSE)</f>
        <v>OpenReview.net</v>
      </c>
      <c r="U37" t="str">
        <f>VLOOKUP(Tabelle43[[#This Row],[Key]],'3. Unique Results'!A:X,21,FALSE)</f>
        <v/>
      </c>
      <c r="V37" t="str">
        <f>VLOOKUP(Tabelle43[[#This Row],[Key]],'3. Unique Results'!A:X,22,FALSE)</f>
        <v/>
      </c>
      <c r="W37" t="str">
        <f>VLOOKUP(Tabelle43[[#This Row],[Key]],'3. Unique Results'!A:X,23,FALSE)</f>
        <v/>
      </c>
    </row>
    <row r="38" spans="1:23">
      <c r="A38" t="s">
        <v>4457</v>
      </c>
      <c r="B38" t="str">
        <f>VLOOKUP(Tabelle43[[#This Row],[Key]],'3. Unique Results'!A:X,2,FALSE)</f>
        <v>conferencePaper</v>
      </c>
      <c r="C38">
        <f>VLOOKUP(Tabelle43[[#This Row],[Key]],'3. Unique Results'!A:X,3,FALSE)</f>
        <v>2020</v>
      </c>
      <c r="D38" t="str">
        <f>VLOOKUP(Tabelle43[[#This Row],[Key]],'3. Unique Results'!A:X,4,FALSE)</f>
        <v>Zucker, Julian; d'Leeuwen, Myraeka</v>
      </c>
      <c r="E38" t="str">
        <f>VLOOKUP(Tabelle43[[#This Row],[Key]],'3. Unique Results'!A:X,5,FALSE)</f>
        <v>Arbiter: A Domain-Specific Language for Ethical Machine Learning</v>
      </c>
      <c r="F38" t="str">
        <f>VLOOKUP(Tabelle43[[#This Row],[Key]],'3. Unique Results'!A:X,6,FALSE)</f>
        <v>AIES '20: AAAI/ACM Conference on AI, Ethics, and Society, New York, NY, USA, February 7-8, 2020</v>
      </c>
      <c r="G38" t="str">
        <f>VLOOKUP(Tabelle43[[#This Row],[Key]],'3. Unique Results'!A:X,7,FALSE)</f>
        <v/>
      </c>
      <c r="H38" t="str">
        <f>VLOOKUP(Tabelle43[[#This Row],[Key]],'3. Unique Results'!A:X,8,FALSE)</f>
        <v/>
      </c>
      <c r="I38" t="str">
        <f>VLOOKUP(Tabelle43[[#This Row],[Key]],'3. Unique Results'!A:X,9,FALSE)</f>
        <v>10.1145/3375627.3375858</v>
      </c>
      <c r="J38" t="str">
        <f>VLOOKUP(Tabelle43[[#This Row],[Key]],'3. Unique Results'!A:X,10,FALSE)</f>
        <v>https://doi.org/10.1145/3375627.3375858</v>
      </c>
      <c r="K38" t="str">
        <f>VLOOKUP(Tabelle43[[#This Row],[Key]],'3. Unique Results'!A:X,11,FALSE)</f>
        <v>2020</v>
      </c>
      <c r="L38">
        <f>VLOOKUP(Tabelle43[[#This Row],[Key]],'3. Unique Results'!A:X,12,FALSE)</f>
        <v>44887.363807870373</v>
      </c>
      <c r="M38" s="17">
        <f>VLOOKUP(Tabelle43[[#This Row],[Key]],'3. Unique Results'!A:X,13,FALSE)</f>
        <v>44887.363807870373</v>
      </c>
      <c r="N38" s="17">
        <f>VLOOKUP(Tabelle43[[#This Row],[Key]],'3. Unique Results'!A:X,14,FALSE)</f>
        <v>0</v>
      </c>
      <c r="O38" t="str">
        <f>VLOOKUP(Tabelle43[[#This Row],[Key]],'3. Unique Results'!A:X,15,FALSE)</f>
        <v>421–425</v>
      </c>
      <c r="P38" t="str">
        <f>VLOOKUP(Tabelle43[[#This Row],[Key]],'3. Unique Results'!A:X,16,FALSE)</f>
        <v/>
      </c>
      <c r="Q38" t="str">
        <f>VLOOKUP(Tabelle43[[#This Row],[Key]],'3. Unique Results'!A:X,17,FALSE)</f>
        <v/>
      </c>
      <c r="R38" t="str">
        <f>VLOOKUP(Tabelle43[[#This Row],[Key]],'3. Unique Results'!A:X,18,FALSE)</f>
        <v/>
      </c>
      <c r="S38" t="str">
        <f>VLOOKUP(Tabelle43[[#This Row],[Key]],'3. Unique Results'!A:X,19,FALSE)</f>
        <v/>
      </c>
      <c r="T38" t="str">
        <f>VLOOKUP(Tabelle43[[#This Row],[Key]],'3. Unique Results'!A:X,20,FALSE)</f>
        <v>ACM</v>
      </c>
      <c r="U38" t="str">
        <f>VLOOKUP(Tabelle43[[#This Row],[Key]],'3. Unique Results'!A:X,21,FALSE)</f>
        <v/>
      </c>
      <c r="V38" t="str">
        <f>VLOOKUP(Tabelle43[[#This Row],[Key]],'3. Unique Results'!A:X,22,FALSE)</f>
        <v/>
      </c>
      <c r="W38" t="str">
        <f>VLOOKUP(Tabelle43[[#This Row],[Key]],'3. Unique Results'!A:X,23,FALSE)</f>
        <v/>
      </c>
    </row>
  </sheetData>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59D8B-6996-49D8-93E4-28D4389E4B5C}">
  <dimension ref="A1:W16"/>
  <sheetViews>
    <sheetView workbookViewId="0">
      <selection activeCell="X1" sqref="X1:X1048576"/>
    </sheetView>
    <sheetView workbookViewId="1"/>
  </sheetViews>
  <sheetFormatPr baseColWidth="10" defaultRowHeight="14.5"/>
  <cols>
    <col min="2" max="2" width="12" customWidth="1"/>
    <col min="3" max="3" width="17.453125" customWidth="1"/>
    <col min="6" max="6" width="17.54296875" customWidth="1"/>
    <col min="11" max="11" width="15.26953125" customWidth="1"/>
    <col min="13" max="13" width="13.54296875" style="17" customWidth="1"/>
    <col min="14" max="14" width="15.81640625" style="17" customWidth="1"/>
    <col min="15" max="15" width="13.54296875" customWidth="1"/>
    <col min="17" max="17" width="13" customWidth="1"/>
    <col min="21" max="21" width="11.54296875" customWidth="1"/>
  </cols>
  <sheetData>
    <row r="1" spans="1:23">
      <c r="A1" t="s">
        <v>72</v>
      </c>
      <c r="B1" t="s">
        <v>73</v>
      </c>
      <c r="C1" t="s">
        <v>74</v>
      </c>
      <c r="D1" t="s">
        <v>75</v>
      </c>
      <c r="E1" t="s">
        <v>76</v>
      </c>
      <c r="F1" t="s">
        <v>77</v>
      </c>
      <c r="G1" t="s">
        <v>78</v>
      </c>
      <c r="H1" t="s">
        <v>79</v>
      </c>
      <c r="I1" t="s">
        <v>80</v>
      </c>
      <c r="J1" t="s">
        <v>81</v>
      </c>
      <c r="K1" t="s">
        <v>82</v>
      </c>
      <c r="L1" t="s">
        <v>83</v>
      </c>
      <c r="M1" s="17" t="s">
        <v>84</v>
      </c>
      <c r="N1" s="17" t="s">
        <v>85</v>
      </c>
      <c r="O1" t="s">
        <v>86</v>
      </c>
      <c r="P1" t="s">
        <v>87</v>
      </c>
      <c r="Q1" t="s">
        <v>88</v>
      </c>
      <c r="R1" t="s">
        <v>2</v>
      </c>
      <c r="S1" t="s">
        <v>89</v>
      </c>
      <c r="T1" t="s">
        <v>90</v>
      </c>
      <c r="U1" t="s">
        <v>91</v>
      </c>
      <c r="V1" t="s">
        <v>92</v>
      </c>
      <c r="W1" t="s">
        <v>93</v>
      </c>
    </row>
    <row r="2" spans="1:23">
      <c r="A2" t="s">
        <v>4437</v>
      </c>
      <c r="B2" t="str">
        <f>VLOOKUP(Tabelle434[[#This Row],[Key]],'3. Unique Results'!A:X,2,FALSE)</f>
        <v>conferencePaper</v>
      </c>
      <c r="C2">
        <f>VLOOKUP(Tabelle434[[#This Row],[Key]],'3. Unique Results'!A:X,3,FALSE)</f>
        <v>2020</v>
      </c>
      <c r="D2" t="str">
        <f>VLOOKUP(Tabelle434[[#This Row],[Key]],'3. Unique Results'!A:X,4,FALSE)</f>
        <v>Al-Azzoni, Issam</v>
      </c>
      <c r="E2" t="str">
        <f>VLOOKUP(Tabelle434[[#This Row],[Key]],'3. Unique Results'!A:X,5,FALSE)</f>
        <v>Model Driven Approach for Neural Networks</v>
      </c>
      <c r="F2" t="str">
        <f>VLOOKUP(Tabelle434[[#This Row],[Key]],'3. Unique Results'!A:X,6,FALSE)</f>
        <v>2020 International Conference on Intelligent Data Science Technologies and Applications (IDSTA)</v>
      </c>
      <c r="G2" t="str">
        <f>VLOOKUP(Tabelle434[[#This Row],[Key]],'3. Unique Results'!A:X,7,FALSE)</f>
        <v/>
      </c>
      <c r="H2" t="str">
        <f>VLOOKUP(Tabelle434[[#This Row],[Key]],'3. Unique Results'!A:X,8,FALSE)</f>
        <v/>
      </c>
      <c r="I2" t="str">
        <f>VLOOKUP(Tabelle434[[#This Row],[Key]],'3. Unique Results'!A:X,9,FALSE)</f>
        <v>10.1109/IDSTA50958.2020.9264067</v>
      </c>
      <c r="J2" t="str">
        <f>VLOOKUP(Tabelle434[[#This Row],[Key]],'3. Unique Results'!A:X,10,FALSE)</f>
        <v/>
      </c>
      <c r="K2" t="str">
        <f>VLOOKUP(Tabelle434[[#This Row],[Key]],'3. Unique Results'!A:X,11,FALSE)</f>
        <v>2020</v>
      </c>
      <c r="L2">
        <f>VLOOKUP(Tabelle434[[#This Row],[Key]],'3. Unique Results'!A:X,12,FALSE)</f>
        <v>44887.363807870373</v>
      </c>
      <c r="M2" s="17">
        <f>VLOOKUP(Tabelle434[[#This Row],[Key]],'3. Unique Results'!A:X,13,FALSE)</f>
        <v>44887.363807870373</v>
      </c>
      <c r="N2" s="17">
        <f>VLOOKUP(Tabelle434[[#This Row],[Key]],'3. Unique Results'!A:X,14,FALSE)</f>
        <v>0</v>
      </c>
      <c r="O2" t="str">
        <f>VLOOKUP(Tabelle434[[#This Row],[Key]],'3. Unique Results'!A:X,15,FALSE)</f>
        <v>87-94</v>
      </c>
      <c r="P2" t="str">
        <f>VLOOKUP(Tabelle434[[#This Row],[Key]],'3. Unique Results'!A:X,16,FALSE)</f>
        <v/>
      </c>
      <c r="Q2" t="str">
        <f>VLOOKUP(Tabelle434[[#This Row],[Key]],'3. Unique Results'!A:X,17,FALSE)</f>
        <v/>
      </c>
      <c r="R2" t="str">
        <f>VLOOKUP(Tabelle434[[#This Row],[Key]],'3. Unique Results'!A:X,18,FALSE)</f>
        <v/>
      </c>
      <c r="S2" t="str">
        <f>VLOOKUP(Tabelle434[[#This Row],[Key]],'3. Unique Results'!A:X,19,FALSE)</f>
        <v/>
      </c>
      <c r="T2" t="str">
        <f>VLOOKUP(Tabelle434[[#This Row],[Key]],'3. Unique Results'!A:X,20,FALSE)</f>
        <v/>
      </c>
      <c r="U2" t="str">
        <f>VLOOKUP(Tabelle434[[#This Row],[Key]],'3. Unique Results'!A:X,21,FALSE)</f>
        <v/>
      </c>
      <c r="V2" t="str">
        <f>VLOOKUP(Tabelle434[[#This Row],[Key]],'3. Unique Results'!A:X,22,FALSE)</f>
        <v/>
      </c>
      <c r="W2" t="str">
        <f>VLOOKUP(Tabelle434[[#This Row],[Key]],'3. Unique Results'!A:X,23,FALSE)</f>
        <v/>
      </c>
    </row>
    <row r="3" spans="1:23">
      <c r="A3" t="s">
        <v>4439</v>
      </c>
      <c r="B3" t="str">
        <f>VLOOKUP(Tabelle434[[#This Row],[Key]],'3. Unique Results'!A:X,2,FALSE)</f>
        <v>conferencePaper</v>
      </c>
      <c r="C3">
        <f>VLOOKUP(Tabelle434[[#This Row],[Key]],'3. Unique Results'!A:X,3,FALSE)</f>
        <v>2019</v>
      </c>
      <c r="D3" t="str">
        <f>VLOOKUP(Tabelle434[[#This Row],[Key]],'3. Unique Results'!A:X,4,FALSE)</f>
        <v>Bhattacharjee, Anirban; Barve, Yogesh; Khare, Shweta; Bao, Shunxing; Kang, Zhuangwei; Gokhale, Aniruddha; Damiano, Thomas</v>
      </c>
      <c r="E3" t="str">
        <f>VLOOKUP(Tabelle434[[#This Row],[Key]],'3. Unique Results'!A:X,5,FALSE)</f>
        <v>STRATUM: A BigData-as-a-Service for Lifecycle Management of IoT Analytics Applications</v>
      </c>
      <c r="F3" t="str">
        <f>VLOOKUP(Tabelle434[[#This Row],[Key]],'3. Unique Results'!A:X,6,FALSE)</f>
        <v>2019 IEEE International Conference on Big Data (Big Data)</v>
      </c>
      <c r="G3" t="str">
        <f>VLOOKUP(Tabelle434[[#This Row],[Key]],'3. Unique Results'!A:X,7,FALSE)</f>
        <v/>
      </c>
      <c r="H3" t="str">
        <f>VLOOKUP(Tabelle434[[#This Row],[Key]],'3. Unique Results'!A:X,8,FALSE)</f>
        <v/>
      </c>
      <c r="I3" t="str">
        <f>VLOOKUP(Tabelle434[[#This Row],[Key]],'3. Unique Results'!A:X,9,FALSE)</f>
        <v>10.1109/BigData47090.2019.9006518</v>
      </c>
      <c r="J3" t="str">
        <f>VLOOKUP(Tabelle434[[#This Row],[Key]],'3. Unique Results'!A:X,10,FALSE)</f>
        <v/>
      </c>
      <c r="K3" t="str">
        <f>VLOOKUP(Tabelle434[[#This Row],[Key]],'3. Unique Results'!A:X,11,FALSE)</f>
        <v>2019</v>
      </c>
      <c r="L3">
        <f>VLOOKUP(Tabelle434[[#This Row],[Key]],'3. Unique Results'!A:X,12,FALSE)</f>
        <v>44887.363807870373</v>
      </c>
      <c r="M3" s="17">
        <f>VLOOKUP(Tabelle434[[#This Row],[Key]],'3. Unique Results'!A:X,13,FALSE)</f>
        <v>44887.363807870373</v>
      </c>
      <c r="N3" s="17">
        <f>VLOOKUP(Tabelle434[[#This Row],[Key]],'3. Unique Results'!A:X,14,FALSE)</f>
        <v>0</v>
      </c>
      <c r="O3" t="str">
        <f>VLOOKUP(Tabelle434[[#This Row],[Key]],'3. Unique Results'!A:X,15,FALSE)</f>
        <v>1607-1612</v>
      </c>
      <c r="P3" t="str">
        <f>VLOOKUP(Tabelle434[[#This Row],[Key]],'3. Unique Results'!A:X,16,FALSE)</f>
        <v/>
      </c>
      <c r="Q3" t="str">
        <f>VLOOKUP(Tabelle434[[#This Row],[Key]],'3. Unique Results'!A:X,17,FALSE)</f>
        <v/>
      </c>
      <c r="R3" t="str">
        <f>VLOOKUP(Tabelle434[[#This Row],[Key]],'3. Unique Results'!A:X,18,FALSE)</f>
        <v/>
      </c>
      <c r="S3" t="str">
        <f>VLOOKUP(Tabelle434[[#This Row],[Key]],'3. Unique Results'!A:X,19,FALSE)</f>
        <v/>
      </c>
      <c r="T3" t="str">
        <f>VLOOKUP(Tabelle434[[#This Row],[Key]],'3. Unique Results'!A:X,20,FALSE)</f>
        <v/>
      </c>
      <c r="U3" t="str">
        <f>VLOOKUP(Tabelle434[[#This Row],[Key]],'3. Unique Results'!A:X,21,FALSE)</f>
        <v/>
      </c>
      <c r="V3" t="str">
        <f>VLOOKUP(Tabelle434[[#This Row],[Key]],'3. Unique Results'!A:X,22,FALSE)</f>
        <v/>
      </c>
      <c r="W3" t="str">
        <f>VLOOKUP(Tabelle434[[#This Row],[Key]],'3. Unique Results'!A:X,23,FALSE)</f>
        <v/>
      </c>
    </row>
    <row r="4" spans="1:23">
      <c r="A4" t="s">
        <v>4446</v>
      </c>
      <c r="B4" t="str">
        <f>VLOOKUP(Tabelle434[[#This Row],[Key]],'3. Unique Results'!A:X,2,FALSE)</f>
        <v>journalArticle</v>
      </c>
      <c r="C4">
        <f>VLOOKUP(Tabelle434[[#This Row],[Key]],'3. Unique Results'!A:X,3,FALSE)</f>
        <v>2014</v>
      </c>
      <c r="D4" t="str">
        <f>VLOOKUP(Tabelle434[[#This Row],[Key]],'3. Unique Results'!A:X,4,FALSE)</f>
        <v>Breuker, D.</v>
      </c>
      <c r="E4" t="str">
        <f>VLOOKUP(Tabelle434[[#This Row],[Key]],'3. Unique Results'!A:X,5,FALSE)</f>
        <v>Towards Model-Driven Engineering for Big Data Analytics–An Exploratory Analysis of Domain-Specific Languages for Machine Learning</v>
      </c>
      <c r="F4" t="str">
        <f>VLOOKUP(Tabelle434[[#This Row],[Key]],'3. Unique Results'!A:X,6,FALSE)</f>
        <v>2014 47th Hawaii International Conference on …</v>
      </c>
      <c r="G4" t="str">
        <f>VLOOKUP(Tabelle434[[#This Row],[Key]],'3. Unique Results'!A:X,7,FALSE)</f>
        <v/>
      </c>
      <c r="H4" t="str">
        <f>VLOOKUP(Tabelle434[[#This Row],[Key]],'3. Unique Results'!A:X,8,FALSE)</f>
        <v/>
      </c>
      <c r="I4" t="str">
        <f>VLOOKUP(Tabelle434[[#This Row],[Key]],'3. Unique Results'!A:X,9,FALSE)</f>
        <v/>
      </c>
      <c r="J4" t="str">
        <f>VLOOKUP(Tabelle434[[#This Row],[Key]],'3. Unique Results'!A:X,10,FALSE)</f>
        <v>https://ieeexplore.ieee.org/abstract/document/6758697/</v>
      </c>
      <c r="K4" t="str">
        <f>VLOOKUP(Tabelle434[[#This Row],[Key]],'3. Unique Results'!A:X,11,FALSE)</f>
        <v>2014</v>
      </c>
      <c r="L4">
        <f>VLOOKUP(Tabelle434[[#This Row],[Key]],'3. Unique Results'!A:X,12,FALSE)</f>
        <v>44887.363807870373</v>
      </c>
      <c r="M4" s="17">
        <f>VLOOKUP(Tabelle434[[#This Row],[Key]],'3. Unique Results'!A:X,13,FALSE)</f>
        <v>44887.363807870373</v>
      </c>
      <c r="N4" s="17">
        <f>VLOOKUP(Tabelle434[[#This Row],[Key]],'3. Unique Results'!A:X,14,FALSE)</f>
        <v>0</v>
      </c>
      <c r="O4" t="str">
        <f>VLOOKUP(Tabelle434[[#This Row],[Key]],'3. Unique Results'!A:X,15,FALSE)</f>
        <v/>
      </c>
      <c r="P4" t="str">
        <f>VLOOKUP(Tabelle434[[#This Row],[Key]],'3. Unique Results'!A:X,16,FALSE)</f>
        <v/>
      </c>
      <c r="Q4" t="str">
        <f>VLOOKUP(Tabelle434[[#This Row],[Key]],'3. Unique Results'!A:X,17,FALSE)</f>
        <v/>
      </c>
      <c r="R4" t="str">
        <f>VLOOKUP(Tabelle434[[#This Row],[Key]],'3. Unique Results'!A:X,18,FALSE)</f>
        <v/>
      </c>
      <c r="S4" t="str">
        <f>VLOOKUP(Tabelle434[[#This Row],[Key]],'3. Unique Results'!A:X,19,FALSE)</f>
        <v/>
      </c>
      <c r="T4" t="str">
        <f>VLOOKUP(Tabelle434[[#This Row],[Key]],'3. Unique Results'!A:X,20,FALSE)</f>
        <v/>
      </c>
      <c r="U4" t="str">
        <f>VLOOKUP(Tabelle434[[#This Row],[Key]],'3. Unique Results'!A:X,21,FALSE)</f>
        <v/>
      </c>
      <c r="V4" t="str">
        <f>VLOOKUP(Tabelle434[[#This Row],[Key]],'3. Unique Results'!A:X,22,FALSE)</f>
        <v/>
      </c>
      <c r="W4" t="str">
        <f>VLOOKUP(Tabelle434[[#This Row],[Key]],'3. Unique Results'!A:X,23,FALSE)</f>
        <v/>
      </c>
    </row>
    <row r="5" spans="1:23">
      <c r="A5" t="s">
        <v>4460</v>
      </c>
      <c r="B5" t="str">
        <f>VLOOKUP(Tabelle434[[#This Row],[Key]],'3. Unique Results'!A:X,2,FALSE)</f>
        <v>conferencePaper</v>
      </c>
      <c r="C5">
        <f>VLOOKUP(Tabelle434[[#This Row],[Key]],'3. Unique Results'!A:X,3,FALSE)</f>
        <v>2022</v>
      </c>
      <c r="D5" t="str">
        <f>VLOOKUP(Tabelle434[[#This Row],[Key]],'3. Unique Results'!A:X,4,FALSE)</f>
        <v>Burnay, Corentin; Giunta, Benito</v>
      </c>
      <c r="E5" t="str">
        <f>VLOOKUP(Tabelle434[[#This Row],[Key]],'3. Unique Results'!A:X,5,FALSE)</f>
        <v>Towards Integrated Model-Driven Engineering Approach to Business Intelligence</v>
      </c>
      <c r="F5" t="str">
        <f>VLOOKUP(Tabelle434[[#This Row],[Key]],'3. Unique Results'!A:X,6,FALSE)</f>
        <v>Research Challenges in Information Science</v>
      </c>
      <c r="G5" t="str">
        <f>VLOOKUP(Tabelle434[[#This Row],[Key]],'3. Unique Results'!A:X,7,FALSE)</f>
        <v>978-3-031-05759-5 978-3-031-05760-1</v>
      </c>
      <c r="H5" t="str">
        <f>VLOOKUP(Tabelle434[[#This Row],[Key]],'3. Unique Results'!A:X,8,FALSE)</f>
        <v/>
      </c>
      <c r="I5" t="str">
        <f>VLOOKUP(Tabelle434[[#This Row],[Key]],'3. Unique Results'!A:X,9,FALSE)</f>
        <v/>
      </c>
      <c r="J5" t="str">
        <f>VLOOKUP(Tabelle434[[#This Row],[Key]],'3. Unique Results'!A:X,10,FALSE)</f>
        <v>https://link.springer.com/10.1007/978-3-031-05760-1_38</v>
      </c>
      <c r="K5" t="str">
        <f>VLOOKUP(Tabelle434[[#This Row],[Key]],'3. Unique Results'!A:X,11,FALSE)</f>
        <v>2022</v>
      </c>
      <c r="L5">
        <f>VLOOKUP(Tabelle434[[#This Row],[Key]],'3. Unique Results'!A:X,12,FALSE)</f>
        <v>44887.363807870373</v>
      </c>
      <c r="M5" s="17">
        <f>VLOOKUP(Tabelle434[[#This Row],[Key]],'3. Unique Results'!A:X,13,FALSE)</f>
        <v>44887.363807870373</v>
      </c>
      <c r="N5" s="17">
        <f>VLOOKUP(Tabelle434[[#This Row],[Key]],'3. Unique Results'!A:X,14,FALSE)</f>
        <v>44886.598391203705</v>
      </c>
      <c r="O5" t="str">
        <f>VLOOKUP(Tabelle434[[#This Row],[Key]],'3. Unique Results'!A:X,15,FALSE)</f>
        <v>635-643</v>
      </c>
      <c r="P5" t="str">
        <f>VLOOKUP(Tabelle434[[#This Row],[Key]],'3. Unique Results'!A:X,16,FALSE)</f>
        <v/>
      </c>
      <c r="Q5" t="str">
        <f>VLOOKUP(Tabelle434[[#This Row],[Key]],'3. Unique Results'!A:X,17,FALSE)</f>
        <v>446</v>
      </c>
      <c r="R5" t="str">
        <f>VLOOKUP(Tabelle434[[#This Row],[Key]],'3. Unique Results'!A:X,18,FALSE)</f>
        <v/>
      </c>
      <c r="S5" t="str">
        <f>VLOOKUP(Tabelle434[[#This Row],[Key]],'3. Unique Results'!A:X,19,FALSE)</f>
        <v/>
      </c>
      <c r="T5" t="str">
        <f>VLOOKUP(Tabelle434[[#This Row],[Key]],'3. Unique Results'!A:X,20,FALSE)</f>
        <v>Springer International Publishing</v>
      </c>
      <c r="U5" t="str">
        <f>VLOOKUP(Tabelle434[[#This Row],[Key]],'3. Unique Results'!A:X,21,FALSE)</f>
        <v>Cham</v>
      </c>
      <c r="V5" t="str">
        <f>VLOOKUP(Tabelle434[[#This Row],[Key]],'3. Unique Results'!A:X,22,FALSE)</f>
        <v>en</v>
      </c>
      <c r="W5" t="str">
        <f>VLOOKUP(Tabelle434[[#This Row],[Key]],'3. Unique Results'!A:X,23,FALSE)</f>
        <v>DOI.org (Crossref)</v>
      </c>
    </row>
    <row r="6" spans="1:23">
      <c r="A6" t="s">
        <v>4433</v>
      </c>
      <c r="B6" t="str">
        <f>VLOOKUP(Tabelle434[[#This Row],[Key]],'3. Unique Results'!A:X,2,FALSE)</f>
        <v>conferencePaper</v>
      </c>
      <c r="C6">
        <f>VLOOKUP(Tabelle434[[#This Row],[Key]],'3. Unique Results'!A:X,3,FALSE)</f>
        <v>2017</v>
      </c>
      <c r="D6" t="str">
        <f>VLOOKUP(Tabelle434[[#This Row],[Key]],'3. Unique Results'!A:X,4,FALSE)</f>
        <v>Dethlefs, Nina; Hawick, Ken</v>
      </c>
      <c r="E6" t="str">
        <f>VLOOKUP(Tabelle434[[#This Row],[Key]],'3. Unique Results'!A:X,5,FALSE)</f>
        <v>DEFIne: A Fluent Interface DSL for Deep Learning Applications</v>
      </c>
      <c r="F6" t="str">
        <f>VLOOKUP(Tabelle434[[#This Row],[Key]],'3. Unique Results'!A:X,6,FALSE)</f>
        <v>Proceedings of the 2nd International Workshop on Real World Domain Specific Languages</v>
      </c>
      <c r="G6" t="str">
        <f>VLOOKUP(Tabelle434[[#This Row],[Key]],'3. Unique Results'!A:X,7,FALSE)</f>
        <v>978-1-4503-4845-4</v>
      </c>
      <c r="H6" t="str">
        <f>VLOOKUP(Tabelle434[[#This Row],[Key]],'3. Unique Results'!A:X,8,FALSE)</f>
        <v/>
      </c>
      <c r="I6" t="str">
        <f>VLOOKUP(Tabelle434[[#This Row],[Key]],'3. Unique Results'!A:X,9,FALSE)</f>
        <v>10.1145/3039895.3039898</v>
      </c>
      <c r="J6" t="str">
        <f>VLOOKUP(Tabelle434[[#This Row],[Key]],'3. Unique Results'!A:X,10,FALSE)</f>
        <v>https://doi.org/10.1145/3039895.3039898</v>
      </c>
      <c r="K6" t="str">
        <f>VLOOKUP(Tabelle434[[#This Row],[Key]],'3. Unique Results'!A:X,11,FALSE)</f>
        <v>2017</v>
      </c>
      <c r="L6">
        <f>VLOOKUP(Tabelle434[[#This Row],[Key]],'3. Unique Results'!A:X,12,FALSE)</f>
        <v>44887.363807870373</v>
      </c>
      <c r="M6" s="17">
        <f>VLOOKUP(Tabelle434[[#This Row],[Key]],'3. Unique Results'!A:X,13,FALSE)</f>
        <v>44887.411307870374</v>
      </c>
      <c r="N6" s="17">
        <f>VLOOKUP(Tabelle434[[#This Row],[Key]],'3. Unique Results'!A:X,14,FALSE)</f>
        <v>0</v>
      </c>
      <c r="O6" t="str">
        <f>VLOOKUP(Tabelle434[[#This Row],[Key]],'3. Unique Results'!A:X,15,FALSE)</f>
        <v/>
      </c>
      <c r="P6" t="str">
        <f>VLOOKUP(Tabelle434[[#This Row],[Key]],'3. Unique Results'!A:X,16,FALSE)</f>
        <v/>
      </c>
      <c r="Q6" t="str">
        <f>VLOOKUP(Tabelle434[[#This Row],[Key]],'3. Unique Results'!A:X,17,FALSE)</f>
        <v/>
      </c>
      <c r="R6" t="str">
        <f>VLOOKUP(Tabelle434[[#This Row],[Key]],'3. Unique Results'!A:X,18,FALSE)</f>
        <v/>
      </c>
      <c r="S6" t="str">
        <f>VLOOKUP(Tabelle434[[#This Row],[Key]],'3. Unique Results'!A:X,19,FALSE)</f>
        <v/>
      </c>
      <c r="T6" t="str">
        <f>VLOOKUP(Tabelle434[[#This Row],[Key]],'3. Unique Results'!A:X,20,FALSE)</f>
        <v>Association for Computing Machinery</v>
      </c>
      <c r="U6" t="str">
        <f>VLOOKUP(Tabelle434[[#This Row],[Key]],'3. Unique Results'!A:X,21,FALSE)</f>
        <v>New York, NY, USA</v>
      </c>
      <c r="V6" t="str">
        <f>VLOOKUP(Tabelle434[[#This Row],[Key]],'3. Unique Results'!A:X,22,FALSE)</f>
        <v/>
      </c>
      <c r="W6" t="str">
        <f>VLOOKUP(Tabelle434[[#This Row],[Key]],'3. Unique Results'!A:X,23,FALSE)</f>
        <v/>
      </c>
    </row>
    <row r="7" spans="1:23">
      <c r="A7" t="s">
        <v>4445</v>
      </c>
      <c r="B7" t="str">
        <f>VLOOKUP(Tabelle434[[#This Row],[Key]],'3. Unique Results'!A:X,2,FALSE)</f>
        <v>journalArticle</v>
      </c>
      <c r="C7">
        <f>VLOOKUP(Tabelle434[[#This Row],[Key]],'3. Unique Results'!A:X,3,FALSE)</f>
        <v>2022</v>
      </c>
      <c r="D7" t="str">
        <f>VLOOKUP(Tabelle434[[#This Row],[Key]],'3. Unique Results'!A:X,4,FALSE)</f>
        <v>Giner-Miguelez, J.; Gómez, A.; Cabot, J.</v>
      </c>
      <c r="E7" t="str">
        <f>VLOOKUP(Tabelle434[[#This Row],[Key]],'3. Unique Results'!A:X,5,FALSE)</f>
        <v>A domain-specific language for describing machine learning dataset</v>
      </c>
      <c r="F7" t="str">
        <f>VLOOKUP(Tabelle434[[#This Row],[Key]],'3. Unique Results'!A:X,6,FALSE)</f>
        <v>arXiv preprint arXiv:2207.02848</v>
      </c>
      <c r="G7" t="str">
        <f>VLOOKUP(Tabelle434[[#This Row],[Key]],'3. Unique Results'!A:X,7,FALSE)</f>
        <v/>
      </c>
      <c r="H7" t="str">
        <f>VLOOKUP(Tabelle434[[#This Row],[Key]],'3. Unique Results'!A:X,8,FALSE)</f>
        <v/>
      </c>
      <c r="I7" t="str">
        <f>VLOOKUP(Tabelle434[[#This Row],[Key]],'3. Unique Results'!A:X,9,FALSE)</f>
        <v/>
      </c>
      <c r="J7" t="str">
        <f>VLOOKUP(Tabelle434[[#This Row],[Key]],'3. Unique Results'!A:X,10,FALSE)</f>
        <v>https://arxiv.org/abs/2207.02848</v>
      </c>
      <c r="K7" t="str">
        <f>VLOOKUP(Tabelle434[[#This Row],[Key]],'3. Unique Results'!A:X,11,FALSE)</f>
        <v>2022</v>
      </c>
      <c r="L7">
        <f>VLOOKUP(Tabelle434[[#This Row],[Key]],'3. Unique Results'!A:X,12,FALSE)</f>
        <v>44887.363807870373</v>
      </c>
      <c r="M7" s="17">
        <f>VLOOKUP(Tabelle434[[#This Row],[Key]],'3. Unique Results'!A:X,13,FALSE)</f>
        <v>44887.363807870373</v>
      </c>
      <c r="N7" s="17">
        <f>VLOOKUP(Tabelle434[[#This Row],[Key]],'3. Unique Results'!A:X,14,FALSE)</f>
        <v>0</v>
      </c>
      <c r="O7" t="str">
        <f>VLOOKUP(Tabelle434[[#This Row],[Key]],'3. Unique Results'!A:X,15,FALSE)</f>
        <v/>
      </c>
      <c r="P7" t="str">
        <f>VLOOKUP(Tabelle434[[#This Row],[Key]],'3. Unique Results'!A:X,16,FALSE)</f>
        <v/>
      </c>
      <c r="Q7" t="str">
        <f>VLOOKUP(Tabelle434[[#This Row],[Key]],'3. Unique Results'!A:X,17,FALSE)</f>
        <v/>
      </c>
      <c r="R7" t="str">
        <f>VLOOKUP(Tabelle434[[#This Row],[Key]],'3. Unique Results'!A:X,18,FALSE)</f>
        <v/>
      </c>
      <c r="S7" t="str">
        <f>VLOOKUP(Tabelle434[[#This Row],[Key]],'3. Unique Results'!A:X,19,FALSE)</f>
        <v/>
      </c>
      <c r="T7" t="str">
        <f>VLOOKUP(Tabelle434[[#This Row],[Key]],'3. Unique Results'!A:X,20,FALSE)</f>
        <v/>
      </c>
      <c r="U7" t="str">
        <f>VLOOKUP(Tabelle434[[#This Row],[Key]],'3. Unique Results'!A:X,21,FALSE)</f>
        <v/>
      </c>
      <c r="V7" t="str">
        <f>VLOOKUP(Tabelle434[[#This Row],[Key]],'3. Unique Results'!A:X,22,FALSE)</f>
        <v/>
      </c>
      <c r="W7" t="str">
        <f>VLOOKUP(Tabelle434[[#This Row],[Key]],'3. Unique Results'!A:X,23,FALSE)</f>
        <v/>
      </c>
    </row>
    <row r="8" spans="1:23">
      <c r="A8" t="s">
        <v>4465</v>
      </c>
      <c r="B8" t="str">
        <f>VLOOKUP(Tabelle434[[#This Row],[Key]],'3. Unique Results'!A:X,2,FALSE)</f>
        <v>conferencePaper</v>
      </c>
      <c r="C8">
        <f>VLOOKUP(Tabelle434[[#This Row],[Key]],'3. Unique Results'!A:X,3,FALSE)</f>
        <v>2017</v>
      </c>
      <c r="D8" t="str">
        <f>VLOOKUP(Tabelle434[[#This Row],[Key]],'3. Unique Results'!A:X,4,FALSE)</f>
        <v>Hartmann, Thomas; Moawad, Assaad; Fouquet, Francois; Traon, Yves Le</v>
      </c>
      <c r="E8" t="str">
        <f>VLOOKUP(Tabelle434[[#This Row],[Key]],'3. Unique Results'!A:X,5,FALSE)</f>
        <v>The next Evolution of MDE: A Seamless Integration of Machine Learning into Domain Modeling</v>
      </c>
      <c r="F8" t="str">
        <f>VLOOKUP(Tabelle434[[#This Row],[Key]],'3. Unique Results'!A:X,6,FALSE)</f>
        <v>Proceedings of the ACM/IEEE 20th International Conference on Model Driven Engineering Languages and Systems</v>
      </c>
      <c r="G8" t="str">
        <f>VLOOKUP(Tabelle434[[#This Row],[Key]],'3. Unique Results'!A:X,7,FALSE)</f>
        <v>978-1-5386-3492-9</v>
      </c>
      <c r="H8" t="str">
        <f>VLOOKUP(Tabelle434[[#This Row],[Key]],'3. Unique Results'!A:X,8,FALSE)</f>
        <v/>
      </c>
      <c r="I8" t="str">
        <f>VLOOKUP(Tabelle434[[#This Row],[Key]],'3. Unique Results'!A:X,9,FALSE)</f>
        <v>10.1109/MODELS.2017.32</v>
      </c>
      <c r="J8" t="str">
        <f>VLOOKUP(Tabelle434[[#This Row],[Key]],'3. Unique Results'!A:X,10,FALSE)</f>
        <v>https://doi.org/10.1109/MODELS.2017.32</v>
      </c>
      <c r="K8" t="str">
        <f>VLOOKUP(Tabelle434[[#This Row],[Key]],'3. Unique Results'!A:X,11,FALSE)</f>
        <v>2017</v>
      </c>
      <c r="L8">
        <f>VLOOKUP(Tabelle434[[#This Row],[Key]],'3. Unique Results'!A:X,12,FALSE)</f>
        <v>44887.363807870373</v>
      </c>
      <c r="M8" s="17">
        <f>VLOOKUP(Tabelle434[[#This Row],[Key]],'3. Unique Results'!A:X,13,FALSE)</f>
        <v>44887.491666666669</v>
      </c>
      <c r="N8" s="17">
        <f>VLOOKUP(Tabelle434[[#This Row],[Key]],'3. Unique Results'!A:X,14,FALSE)</f>
        <v>0</v>
      </c>
      <c r="O8" t="str">
        <f>VLOOKUP(Tabelle434[[#This Row],[Key]],'3. Unique Results'!A:X,15,FALSE)</f>
        <v>180</v>
      </c>
      <c r="P8" t="str">
        <f>VLOOKUP(Tabelle434[[#This Row],[Key]],'3. Unique Results'!A:X,16,FALSE)</f>
        <v/>
      </c>
      <c r="Q8" t="str">
        <f>VLOOKUP(Tabelle434[[#This Row],[Key]],'3. Unique Results'!A:X,17,FALSE)</f>
        <v/>
      </c>
      <c r="R8" t="str">
        <f>VLOOKUP(Tabelle434[[#This Row],[Key]],'3. Unique Results'!A:X,18,FALSE)</f>
        <v/>
      </c>
      <c r="S8" t="str">
        <f>VLOOKUP(Tabelle434[[#This Row],[Key]],'3. Unique Results'!A:X,19,FALSE)</f>
        <v/>
      </c>
      <c r="T8" t="str">
        <f>VLOOKUP(Tabelle434[[#This Row],[Key]],'3. Unique Results'!A:X,20,FALSE)</f>
        <v>IEEE Press</v>
      </c>
      <c r="U8" t="str">
        <f>VLOOKUP(Tabelle434[[#This Row],[Key]],'3. Unique Results'!A:X,21,FALSE)</f>
        <v/>
      </c>
      <c r="V8" t="str">
        <f>VLOOKUP(Tabelle434[[#This Row],[Key]],'3. Unique Results'!A:X,22,FALSE)</f>
        <v/>
      </c>
      <c r="W8" t="str">
        <f>VLOOKUP(Tabelle434[[#This Row],[Key]],'3. Unique Results'!A:X,23,FALSE)</f>
        <v/>
      </c>
    </row>
    <row r="9" spans="1:23">
      <c r="A9" t="s">
        <v>4441</v>
      </c>
      <c r="B9" t="str">
        <f>VLOOKUP(Tabelle434[[#This Row],[Key]],'3. Unique Results'!A:X,2,FALSE)</f>
        <v>conferencePaper</v>
      </c>
      <c r="C9">
        <f>VLOOKUP(Tabelle434[[#This Row],[Key]],'3. Unique Results'!A:X,3,FALSE)</f>
        <v>2019</v>
      </c>
      <c r="D9" t="str">
        <f>VLOOKUP(Tabelle434[[#This Row],[Key]],'3. Unique Results'!A:X,4,FALSE)</f>
        <v>Hartmann, Thomas; Moawad, Assaad; Schockaert, Cedric; Fouquet, Francois; Le Traon, Yves</v>
      </c>
      <c r="E9" t="str">
        <f>VLOOKUP(Tabelle434[[#This Row],[Key]],'3. Unique Results'!A:X,5,FALSE)</f>
        <v>Meta-Modelling Meta-Learning</v>
      </c>
      <c r="F9" t="str">
        <f>VLOOKUP(Tabelle434[[#This Row],[Key]],'3. Unique Results'!A:X,6,FALSE)</f>
        <v>2019 ACM/IEEE 22nd International Conference on Model Driven Engineering Languages and Systems (MODELS)</v>
      </c>
      <c r="G9" t="str">
        <f>VLOOKUP(Tabelle434[[#This Row],[Key]],'3. Unique Results'!A:X,7,FALSE)</f>
        <v/>
      </c>
      <c r="H9" t="str">
        <f>VLOOKUP(Tabelle434[[#This Row],[Key]],'3. Unique Results'!A:X,8,FALSE)</f>
        <v/>
      </c>
      <c r="I9" t="str">
        <f>VLOOKUP(Tabelle434[[#This Row],[Key]],'3. Unique Results'!A:X,9,FALSE)</f>
        <v>10.1109/MODELS.2019.00014</v>
      </c>
      <c r="J9" t="str">
        <f>VLOOKUP(Tabelle434[[#This Row],[Key]],'3. Unique Results'!A:X,10,FALSE)</f>
        <v/>
      </c>
      <c r="K9" t="str">
        <f>VLOOKUP(Tabelle434[[#This Row],[Key]],'3. Unique Results'!A:X,11,FALSE)</f>
        <v>2019</v>
      </c>
      <c r="L9">
        <f>VLOOKUP(Tabelle434[[#This Row],[Key]],'3. Unique Results'!A:X,12,FALSE)</f>
        <v>44887.363807870373</v>
      </c>
      <c r="M9" s="17">
        <f>VLOOKUP(Tabelle434[[#This Row],[Key]],'3. Unique Results'!A:X,13,FALSE)</f>
        <v>44887.363807870373</v>
      </c>
      <c r="N9" s="17">
        <f>VLOOKUP(Tabelle434[[#This Row],[Key]],'3. Unique Results'!A:X,14,FALSE)</f>
        <v>0</v>
      </c>
      <c r="O9" t="str">
        <f>VLOOKUP(Tabelle434[[#This Row],[Key]],'3. Unique Results'!A:X,15,FALSE)</f>
        <v>300-305</v>
      </c>
      <c r="P9" t="str">
        <f>VLOOKUP(Tabelle434[[#This Row],[Key]],'3. Unique Results'!A:X,16,FALSE)</f>
        <v/>
      </c>
      <c r="Q9" t="str">
        <f>VLOOKUP(Tabelle434[[#This Row],[Key]],'3. Unique Results'!A:X,17,FALSE)</f>
        <v/>
      </c>
      <c r="R9" t="str">
        <f>VLOOKUP(Tabelle434[[#This Row],[Key]],'3. Unique Results'!A:X,18,FALSE)</f>
        <v/>
      </c>
      <c r="S9" t="str">
        <f>VLOOKUP(Tabelle434[[#This Row],[Key]],'3. Unique Results'!A:X,19,FALSE)</f>
        <v/>
      </c>
      <c r="T9" t="str">
        <f>VLOOKUP(Tabelle434[[#This Row],[Key]],'3. Unique Results'!A:X,20,FALSE)</f>
        <v/>
      </c>
      <c r="U9" t="str">
        <f>VLOOKUP(Tabelle434[[#This Row],[Key]],'3. Unique Results'!A:X,21,FALSE)</f>
        <v/>
      </c>
      <c r="V9" t="str">
        <f>VLOOKUP(Tabelle434[[#This Row],[Key]],'3. Unique Results'!A:X,22,FALSE)</f>
        <v/>
      </c>
      <c r="W9" t="str">
        <f>VLOOKUP(Tabelle434[[#This Row],[Key]],'3. Unique Results'!A:X,23,FALSE)</f>
        <v/>
      </c>
    </row>
    <row r="10" spans="1:23">
      <c r="A10" t="s">
        <v>4461</v>
      </c>
      <c r="B10" t="str">
        <f>VLOOKUP(Tabelle434[[#This Row],[Key]],'3. Unique Results'!A:X,2,FALSE)</f>
        <v>conferencePaper</v>
      </c>
      <c r="C10">
        <f>VLOOKUP(Tabelle434[[#This Row],[Key]],'3. Unique Results'!A:X,3,FALSE)</f>
        <v>2019</v>
      </c>
      <c r="D10" t="str">
        <f>VLOOKUP(Tabelle434[[#This Row],[Key]],'3. Unique Results'!A:X,4,FALSE)</f>
        <v>Koseler, Kaan; McGraw, Kelsea; Stephan, Matthew</v>
      </c>
      <c r="E10" t="str">
        <f>VLOOKUP(Tabelle434[[#This Row],[Key]],'3. Unique Results'!A:X,5,FALSE)</f>
        <v>Realization of a Machine Learning Domain Specific Modeling Language: A Baseball Analytics Case Study</v>
      </c>
      <c r="F10" t="str">
        <f>VLOOKUP(Tabelle434[[#This Row],[Key]],'3. Unique Results'!A:X,6,FALSE)</f>
        <v>Proceedings of the 7th International Conference on Model-Driven Engineering and Software Development, MODELSWARD 2019, Prague, Czech Republic, February 20-22, 2019</v>
      </c>
      <c r="G10" t="str">
        <f>VLOOKUP(Tabelle434[[#This Row],[Key]],'3. Unique Results'!A:X,7,FALSE)</f>
        <v/>
      </c>
      <c r="H10" t="str">
        <f>VLOOKUP(Tabelle434[[#This Row],[Key]],'3. Unique Results'!A:X,8,FALSE)</f>
        <v/>
      </c>
      <c r="I10" t="str">
        <f>VLOOKUP(Tabelle434[[#This Row],[Key]],'3. Unique Results'!A:X,9,FALSE)</f>
        <v>10.5220/0007245800150026</v>
      </c>
      <c r="J10" t="str">
        <f>VLOOKUP(Tabelle434[[#This Row],[Key]],'3. Unique Results'!A:X,10,FALSE)</f>
        <v>https://doi.org/10.5220/0007245800150026</v>
      </c>
      <c r="K10" t="str">
        <f>VLOOKUP(Tabelle434[[#This Row],[Key]],'3. Unique Results'!A:X,11,FALSE)</f>
        <v>2019</v>
      </c>
      <c r="L10">
        <f>VLOOKUP(Tabelle434[[#This Row],[Key]],'3. Unique Results'!A:X,12,FALSE)</f>
        <v>44887.363807870373</v>
      </c>
      <c r="M10" s="17">
        <f>VLOOKUP(Tabelle434[[#This Row],[Key]],'3. Unique Results'!A:X,13,FALSE)</f>
        <v>44887.363807870373</v>
      </c>
      <c r="N10" s="17">
        <f>VLOOKUP(Tabelle434[[#This Row],[Key]],'3. Unique Results'!A:X,14,FALSE)</f>
        <v>0</v>
      </c>
      <c r="O10" t="str">
        <f>VLOOKUP(Tabelle434[[#This Row],[Key]],'3. Unique Results'!A:X,15,FALSE)</f>
        <v>13–24</v>
      </c>
      <c r="P10" t="str">
        <f>VLOOKUP(Tabelle434[[#This Row],[Key]],'3. Unique Results'!A:X,16,FALSE)</f>
        <v/>
      </c>
      <c r="Q10" t="str">
        <f>VLOOKUP(Tabelle434[[#This Row],[Key]],'3. Unique Results'!A:X,17,FALSE)</f>
        <v/>
      </c>
      <c r="R10" t="str">
        <f>VLOOKUP(Tabelle434[[#This Row],[Key]],'3. Unique Results'!A:X,18,FALSE)</f>
        <v/>
      </c>
      <c r="S10" t="str">
        <f>VLOOKUP(Tabelle434[[#This Row],[Key]],'3. Unique Results'!A:X,19,FALSE)</f>
        <v/>
      </c>
      <c r="T10" t="str">
        <f>VLOOKUP(Tabelle434[[#This Row],[Key]],'3. Unique Results'!A:X,20,FALSE)</f>
        <v>SciTePress</v>
      </c>
      <c r="U10" t="str">
        <f>VLOOKUP(Tabelle434[[#This Row],[Key]],'3. Unique Results'!A:X,21,FALSE)</f>
        <v/>
      </c>
      <c r="V10" t="str">
        <f>VLOOKUP(Tabelle434[[#This Row],[Key]],'3. Unique Results'!A:X,22,FALSE)</f>
        <v/>
      </c>
      <c r="W10" t="str">
        <f>VLOOKUP(Tabelle434[[#This Row],[Key]],'3. Unique Results'!A:X,23,FALSE)</f>
        <v/>
      </c>
    </row>
    <row r="11" spans="1:23">
      <c r="A11" t="s">
        <v>4440</v>
      </c>
      <c r="B11" t="str">
        <f>VLOOKUP(Tabelle434[[#This Row],[Key]],'3. Unique Results'!A:X,2,FALSE)</f>
        <v>journalArticle</v>
      </c>
      <c r="C11">
        <f>VLOOKUP(Tabelle434[[#This Row],[Key]],'3. Unique Results'!A:X,3,FALSE)</f>
        <v>2021</v>
      </c>
      <c r="D11" t="str">
        <f>VLOOKUP(Tabelle434[[#This Row],[Key]],'3. Unique Results'!A:X,4,FALSE)</f>
        <v>Meacham, Sofia; Pech, Vaclav; Nauck, Detlef</v>
      </c>
      <c r="E11" t="str">
        <f>VLOOKUP(Tabelle434[[#This Row],[Key]],'3. Unique Results'!A:X,5,FALSE)</f>
        <v>AdaptiveSystems: An Integrated Framework for Adaptive Systems Design and Development Using MPS JetBrains Domain-Specific Modeling Environment</v>
      </c>
      <c r="F11" t="str">
        <f>VLOOKUP(Tabelle434[[#This Row],[Key]],'3. Unique Results'!A:X,6,FALSE)</f>
        <v>IEEE Access</v>
      </c>
      <c r="G11" t="str">
        <f>VLOOKUP(Tabelle434[[#This Row],[Key]],'3. Unique Results'!A:X,7,FALSE)</f>
        <v/>
      </c>
      <c r="H11" t="str">
        <f>VLOOKUP(Tabelle434[[#This Row],[Key]],'3. Unique Results'!A:X,8,FALSE)</f>
        <v/>
      </c>
      <c r="I11" t="str">
        <f>VLOOKUP(Tabelle434[[#This Row],[Key]],'3. Unique Results'!A:X,9,FALSE)</f>
        <v>10.1109/ACCESS.2021.3111229</v>
      </c>
      <c r="J11" t="str">
        <f>VLOOKUP(Tabelle434[[#This Row],[Key]],'3. Unique Results'!A:X,10,FALSE)</f>
        <v/>
      </c>
      <c r="K11" t="str">
        <f>VLOOKUP(Tabelle434[[#This Row],[Key]],'3. Unique Results'!A:X,11,FALSE)</f>
        <v>2021</v>
      </c>
      <c r="L11">
        <f>VLOOKUP(Tabelle434[[#This Row],[Key]],'3. Unique Results'!A:X,12,FALSE)</f>
        <v>44887.363807870373</v>
      </c>
      <c r="M11" s="17">
        <f>VLOOKUP(Tabelle434[[#This Row],[Key]],'3. Unique Results'!A:X,13,FALSE)</f>
        <v>44887.363807870373</v>
      </c>
      <c r="N11" s="17">
        <f>VLOOKUP(Tabelle434[[#This Row],[Key]],'3. Unique Results'!A:X,14,FALSE)</f>
        <v>0</v>
      </c>
      <c r="O11" t="str">
        <f>VLOOKUP(Tabelle434[[#This Row],[Key]],'3. Unique Results'!A:X,15,FALSE)</f>
        <v>127973-127984</v>
      </c>
      <c r="P11" t="str">
        <f>VLOOKUP(Tabelle434[[#This Row],[Key]],'3. Unique Results'!A:X,16,FALSE)</f>
        <v/>
      </c>
      <c r="Q11" t="str">
        <f>VLOOKUP(Tabelle434[[#This Row],[Key]],'3. Unique Results'!A:X,17,FALSE)</f>
        <v>9</v>
      </c>
      <c r="R11" t="str">
        <f>VLOOKUP(Tabelle434[[#This Row],[Key]],'3. Unique Results'!A:X,18,FALSE)</f>
        <v/>
      </c>
      <c r="S11" t="str">
        <f>VLOOKUP(Tabelle434[[#This Row],[Key]],'3. Unique Results'!A:X,19,FALSE)</f>
        <v/>
      </c>
      <c r="T11" t="str">
        <f>VLOOKUP(Tabelle434[[#This Row],[Key]],'3. Unique Results'!A:X,20,FALSE)</f>
        <v/>
      </c>
      <c r="U11" t="str">
        <f>VLOOKUP(Tabelle434[[#This Row],[Key]],'3. Unique Results'!A:X,21,FALSE)</f>
        <v/>
      </c>
      <c r="V11" t="str">
        <f>VLOOKUP(Tabelle434[[#This Row],[Key]],'3. Unique Results'!A:X,22,FALSE)</f>
        <v/>
      </c>
      <c r="W11" t="str">
        <f>VLOOKUP(Tabelle434[[#This Row],[Key]],'3. Unique Results'!A:X,23,FALSE)</f>
        <v/>
      </c>
    </row>
    <row r="12" spans="1:23">
      <c r="A12" t="s">
        <v>4453</v>
      </c>
      <c r="B12" t="str">
        <f>VLOOKUP(Tabelle434[[#This Row],[Key]],'3. Unique Results'!A:X,2,FALSE)</f>
        <v>journalArticle</v>
      </c>
      <c r="C12">
        <f>VLOOKUP(Tabelle434[[#This Row],[Key]],'3. Unique Results'!A:X,3,FALSE)</f>
        <v>2021</v>
      </c>
      <c r="D12" t="str">
        <f>VLOOKUP(Tabelle434[[#This Row],[Key]],'3. Unique Results'!A:X,4,FALSE)</f>
        <v>Moin, Armin; Badii, Atta; Günnemann, Stephan</v>
      </c>
      <c r="E12" t="str">
        <f>VLOOKUP(Tabelle434[[#This Row],[Key]],'3. Unique Results'!A:X,5,FALSE)</f>
        <v>A Model-Driven Engineering Approach to Machine Learning and Software Modeling</v>
      </c>
      <c r="F12" t="str">
        <f>VLOOKUP(Tabelle434[[#This Row],[Key]],'3. Unique Results'!A:X,6,FALSE)</f>
        <v>CoRR</v>
      </c>
      <c r="G12" t="str">
        <f>VLOOKUP(Tabelle434[[#This Row],[Key]],'3. Unique Results'!A:X,7,FALSE)</f>
        <v/>
      </c>
      <c r="H12" t="str">
        <f>VLOOKUP(Tabelle434[[#This Row],[Key]],'3. Unique Results'!A:X,8,FALSE)</f>
        <v/>
      </c>
      <c r="I12" t="str">
        <f>VLOOKUP(Tabelle434[[#This Row],[Key]],'3. Unique Results'!A:X,9,FALSE)</f>
        <v/>
      </c>
      <c r="J12" t="str">
        <f>VLOOKUP(Tabelle434[[#This Row],[Key]],'3. Unique Results'!A:X,10,FALSE)</f>
        <v>https://arxiv.org/abs/2107.02689</v>
      </c>
      <c r="K12" t="str">
        <f>VLOOKUP(Tabelle434[[#This Row],[Key]],'3. Unique Results'!A:X,11,FALSE)</f>
        <v>2021</v>
      </c>
      <c r="L12">
        <f>VLOOKUP(Tabelle434[[#This Row],[Key]],'3. Unique Results'!A:X,12,FALSE)</f>
        <v>44887.363807870373</v>
      </c>
      <c r="M12" s="17">
        <f>VLOOKUP(Tabelle434[[#This Row],[Key]],'3. Unique Results'!A:X,13,FALSE)</f>
        <v>44887.363807870373</v>
      </c>
      <c r="N12" s="17">
        <f>VLOOKUP(Tabelle434[[#This Row],[Key]],'3. Unique Results'!A:X,14,FALSE)</f>
        <v>0</v>
      </c>
      <c r="O12" t="str">
        <f>VLOOKUP(Tabelle434[[#This Row],[Key]],'3. Unique Results'!A:X,15,FALSE)</f>
        <v/>
      </c>
      <c r="P12" t="str">
        <f>VLOOKUP(Tabelle434[[#This Row],[Key]],'3. Unique Results'!A:X,16,FALSE)</f>
        <v/>
      </c>
      <c r="Q12" t="str">
        <f>VLOOKUP(Tabelle434[[#This Row],[Key]],'3. Unique Results'!A:X,17,FALSE)</f>
        <v>abs/2107.02689</v>
      </c>
      <c r="R12" t="str">
        <f>VLOOKUP(Tabelle434[[#This Row],[Key]],'3. Unique Results'!A:X,18,FALSE)</f>
        <v/>
      </c>
      <c r="S12" t="str">
        <f>VLOOKUP(Tabelle434[[#This Row],[Key]],'3. Unique Results'!A:X,19,FALSE)</f>
        <v/>
      </c>
      <c r="T12" t="str">
        <f>VLOOKUP(Tabelle434[[#This Row],[Key]],'3. Unique Results'!A:X,20,FALSE)</f>
        <v/>
      </c>
      <c r="U12" t="str">
        <f>VLOOKUP(Tabelle434[[#This Row],[Key]],'3. Unique Results'!A:X,21,FALSE)</f>
        <v/>
      </c>
      <c r="V12" t="str">
        <f>VLOOKUP(Tabelle434[[#This Row],[Key]],'3. Unique Results'!A:X,22,FALSE)</f>
        <v/>
      </c>
      <c r="W12" t="str">
        <f>VLOOKUP(Tabelle434[[#This Row],[Key]],'3. Unique Results'!A:X,23,FALSE)</f>
        <v/>
      </c>
    </row>
    <row r="13" spans="1:23">
      <c r="A13" t="s">
        <v>4462</v>
      </c>
      <c r="B13" t="str">
        <f>VLOOKUP(Tabelle434[[#This Row],[Key]],'3. Unique Results'!A:X,2,FALSE)</f>
        <v>journalArticle</v>
      </c>
      <c r="C13">
        <f>VLOOKUP(Tabelle434[[#This Row],[Key]],'3. Unique Results'!A:X,3,FALSE)</f>
        <v>2022</v>
      </c>
      <c r="D13" t="str">
        <f>VLOOKUP(Tabelle434[[#This Row],[Key]],'3. Unique Results'!A:X,4,FALSE)</f>
        <v>Morales, Sergio; Clarisó, Robert; Cabot, Jordi</v>
      </c>
      <c r="E13" t="str">
        <f>VLOOKUP(Tabelle434[[#This Row],[Key]],'3. Unique Results'!A:X,5,FALSE)</f>
        <v>Towards a DSL for AI Engineering Process Modeling</v>
      </c>
      <c r="F13" t="str">
        <f>VLOOKUP(Tabelle434[[#This Row],[Key]],'3. Unique Results'!A:X,6,FALSE)</f>
        <v>Product-Focused Software Process Improvement</v>
      </c>
      <c r="G13" t="str">
        <f>VLOOKUP(Tabelle434[[#This Row],[Key]],'3. Unique Results'!A:X,7,FALSE)</f>
        <v/>
      </c>
      <c r="H13" t="str">
        <f>VLOOKUP(Tabelle434[[#This Row],[Key]],'3. Unique Results'!A:X,8,FALSE)</f>
        <v/>
      </c>
      <c r="I13" t="str">
        <f>VLOOKUP(Tabelle434[[#This Row],[Key]],'3. Unique Results'!A:X,9,FALSE)</f>
        <v/>
      </c>
      <c r="J13" t="str">
        <f>VLOOKUP(Tabelle434[[#This Row],[Key]],'3. Unique Results'!A:X,10,FALSE)</f>
        <v>https://link.springer.com/10.1007/978-3-031-21388-5_4</v>
      </c>
      <c r="K13" t="str">
        <f>VLOOKUP(Tabelle434[[#This Row],[Key]],'3. Unique Results'!A:X,11,FALSE)</f>
        <v>2022</v>
      </c>
      <c r="L13">
        <f>VLOOKUP(Tabelle434[[#This Row],[Key]],'3. Unique Results'!A:X,12,FALSE)</f>
        <v>44887.363807870373</v>
      </c>
      <c r="M13" s="17">
        <f>VLOOKUP(Tabelle434[[#This Row],[Key]],'3. Unique Results'!A:X,13,FALSE)</f>
        <v>44887.363807870373</v>
      </c>
      <c r="N13" s="17">
        <f>VLOOKUP(Tabelle434[[#This Row],[Key]],'3. Unique Results'!A:X,14,FALSE)</f>
        <v>44886.597951388889</v>
      </c>
      <c r="O13" t="str">
        <f>VLOOKUP(Tabelle434[[#This Row],[Key]],'3. Unique Results'!A:X,15,FALSE)</f>
        <v>53-60</v>
      </c>
      <c r="P13" t="str">
        <f>VLOOKUP(Tabelle434[[#This Row],[Key]],'3. Unique Results'!A:X,16,FALSE)</f>
        <v/>
      </c>
      <c r="Q13" t="str">
        <f>VLOOKUP(Tabelle434[[#This Row],[Key]],'3. Unique Results'!A:X,17,FALSE)</f>
        <v>13709</v>
      </c>
      <c r="R13" t="str">
        <f>VLOOKUP(Tabelle434[[#This Row],[Key]],'3. Unique Results'!A:X,18,FALSE)</f>
        <v/>
      </c>
      <c r="S13" t="str">
        <f>VLOOKUP(Tabelle434[[#This Row],[Key]],'3. Unique Results'!A:X,19,FALSE)</f>
        <v/>
      </c>
      <c r="T13" t="str">
        <f>VLOOKUP(Tabelle434[[#This Row],[Key]],'3. Unique Results'!A:X,20,FALSE)</f>
        <v/>
      </c>
      <c r="U13" t="str">
        <f>VLOOKUP(Tabelle434[[#This Row],[Key]],'3. Unique Results'!A:X,21,FALSE)</f>
        <v/>
      </c>
      <c r="V13" t="str">
        <f>VLOOKUP(Tabelle434[[#This Row],[Key]],'3. Unique Results'!A:X,22,FALSE)</f>
        <v>en</v>
      </c>
      <c r="W13" t="str">
        <f>VLOOKUP(Tabelle434[[#This Row],[Key]],'3. Unique Results'!A:X,23,FALSE)</f>
        <v>DOI.org (Crossref)</v>
      </c>
    </row>
    <row r="14" spans="1:23">
      <c r="A14" t="s">
        <v>4456</v>
      </c>
      <c r="B14" t="str">
        <f>VLOOKUP(Tabelle434[[#This Row],[Key]],'3. Unique Results'!A:X,2,FALSE)</f>
        <v>conferencePaper</v>
      </c>
      <c r="C14">
        <f>VLOOKUP(Tabelle434[[#This Row],[Key]],'3. Unique Results'!A:X,3,FALSE)</f>
        <v>2016</v>
      </c>
      <c r="D14" t="str">
        <f>VLOOKUP(Tabelle434[[#This Row],[Key]],'3. Unique Results'!A:X,4,FALSE)</f>
        <v>Portugal, Ivens; Alencar, Paulo S. C.; Cowan, Donald D.</v>
      </c>
      <c r="E14" t="str">
        <f>VLOOKUP(Tabelle434[[#This Row],[Key]],'3. Unique Results'!A:X,5,FALSE)</f>
        <v>A Preliminary Survey on Domain-Specific Languages for Machine Learning in Big Data</v>
      </c>
      <c r="F14" t="str">
        <f>VLOOKUP(Tabelle434[[#This Row],[Key]],'3. Unique Results'!A:X,6,FALSE)</f>
        <v>2016 IEEE International Conference on Software Science, Technology and Engineering, SWSTE 2016, Beer Sheva, Israel, June 23-24, 2016</v>
      </c>
      <c r="G14" t="str">
        <f>VLOOKUP(Tabelle434[[#This Row],[Key]],'3. Unique Results'!A:X,7,FALSE)</f>
        <v/>
      </c>
      <c r="H14" t="str">
        <f>VLOOKUP(Tabelle434[[#This Row],[Key]],'3. Unique Results'!A:X,8,FALSE)</f>
        <v/>
      </c>
      <c r="I14" t="str">
        <f>VLOOKUP(Tabelle434[[#This Row],[Key]],'3. Unique Results'!A:X,9,FALSE)</f>
        <v>10.1109/SWSTE.2016.23</v>
      </c>
      <c r="J14" t="str">
        <f>VLOOKUP(Tabelle434[[#This Row],[Key]],'3. Unique Results'!A:X,10,FALSE)</f>
        <v>https://doi.org/10.1109/SWSTE.2016.23</v>
      </c>
      <c r="K14" t="str">
        <f>VLOOKUP(Tabelle434[[#This Row],[Key]],'3. Unique Results'!A:X,11,FALSE)</f>
        <v>2016</v>
      </c>
      <c r="L14">
        <f>VLOOKUP(Tabelle434[[#This Row],[Key]],'3. Unique Results'!A:X,12,FALSE)</f>
        <v>44887.363807870373</v>
      </c>
      <c r="M14" s="17">
        <f>VLOOKUP(Tabelle434[[#This Row],[Key]],'3. Unique Results'!A:X,13,FALSE)</f>
        <v>44887.363807870373</v>
      </c>
      <c r="N14" s="17">
        <f>VLOOKUP(Tabelle434[[#This Row],[Key]],'3. Unique Results'!A:X,14,FALSE)</f>
        <v>0</v>
      </c>
      <c r="O14" t="str">
        <f>VLOOKUP(Tabelle434[[#This Row],[Key]],'3. Unique Results'!A:X,15,FALSE)</f>
        <v>108–110</v>
      </c>
      <c r="P14" t="str">
        <f>VLOOKUP(Tabelle434[[#This Row],[Key]],'3. Unique Results'!A:X,16,FALSE)</f>
        <v/>
      </c>
      <c r="Q14" t="str">
        <f>VLOOKUP(Tabelle434[[#This Row],[Key]],'3. Unique Results'!A:X,17,FALSE)</f>
        <v/>
      </c>
      <c r="R14" t="str">
        <f>VLOOKUP(Tabelle434[[#This Row],[Key]],'3. Unique Results'!A:X,18,FALSE)</f>
        <v/>
      </c>
      <c r="S14" t="str">
        <f>VLOOKUP(Tabelle434[[#This Row],[Key]],'3. Unique Results'!A:X,19,FALSE)</f>
        <v/>
      </c>
      <c r="T14" t="str">
        <f>VLOOKUP(Tabelle434[[#This Row],[Key]],'3. Unique Results'!A:X,20,FALSE)</f>
        <v>IEEE</v>
      </c>
      <c r="U14" t="str">
        <f>VLOOKUP(Tabelle434[[#This Row],[Key]],'3. Unique Results'!A:X,21,FALSE)</f>
        <v/>
      </c>
      <c r="V14" t="str">
        <f>VLOOKUP(Tabelle434[[#This Row],[Key]],'3. Unique Results'!A:X,22,FALSE)</f>
        <v/>
      </c>
      <c r="W14" t="str">
        <f>VLOOKUP(Tabelle434[[#This Row],[Key]],'3. Unique Results'!A:X,23,FALSE)</f>
        <v/>
      </c>
    </row>
    <row r="15" spans="1:23">
      <c r="A15" t="s">
        <v>4434</v>
      </c>
      <c r="B15" t="str">
        <f>VLOOKUP(Tabelle434[[#This Row],[Key]],'3. Unique Results'!A:X,2,FALSE)</f>
        <v>conferencePaper</v>
      </c>
      <c r="C15">
        <f>VLOOKUP(Tabelle434[[#This Row],[Key]],'3. Unique Results'!A:X,3,FALSE)</f>
        <v>2021</v>
      </c>
      <c r="D15" t="str">
        <f>VLOOKUP(Tabelle434[[#This Row],[Key]],'3. Unique Results'!A:X,4,FALSE)</f>
        <v>Ries, Benoît; Guelfi, Nicolas; Jahic, Benjamin</v>
      </c>
      <c r="E15" t="str">
        <f>VLOOKUP(Tabelle434[[#This Row],[Key]],'3. Unique Results'!A:X,5,FALSE)</f>
        <v>An MDE Method for Improving Deep Learning Dataset Requirements Engineering using Alloy and UML</v>
      </c>
      <c r="F15" t="str">
        <f>VLOOKUP(Tabelle434[[#This Row],[Key]],'3. Unique Results'!A:X,6,FALSE)</f>
        <v>Proceedings of the 9th International Conference on Model-Driven Engineering and Software Development, MODELSWARD 2021, Online Streaming, February 8-10, 2021</v>
      </c>
      <c r="G15" t="str">
        <f>VLOOKUP(Tabelle434[[#This Row],[Key]],'3. Unique Results'!A:X,7,FALSE)</f>
        <v/>
      </c>
      <c r="H15" t="str">
        <f>VLOOKUP(Tabelle434[[#This Row],[Key]],'3. Unique Results'!A:X,8,FALSE)</f>
        <v/>
      </c>
      <c r="I15" t="str">
        <f>VLOOKUP(Tabelle434[[#This Row],[Key]],'3. Unique Results'!A:X,9,FALSE)</f>
        <v>10.5220/0010216600410052</v>
      </c>
      <c r="J15" t="str">
        <f>VLOOKUP(Tabelle434[[#This Row],[Key]],'3. Unique Results'!A:X,10,FALSE)</f>
        <v>https://doi.org/10.5220/0010216600410052</v>
      </c>
      <c r="K15" t="str">
        <f>VLOOKUP(Tabelle434[[#This Row],[Key]],'3. Unique Results'!A:X,11,FALSE)</f>
        <v>2021</v>
      </c>
      <c r="L15">
        <f>VLOOKUP(Tabelle434[[#This Row],[Key]],'3. Unique Results'!A:X,12,FALSE)</f>
        <v>44887.363807870373</v>
      </c>
      <c r="M15" s="17">
        <f>VLOOKUP(Tabelle434[[#This Row],[Key]],'3. Unique Results'!A:X,13,FALSE)</f>
        <v>44887.363807870373</v>
      </c>
      <c r="N15" s="17">
        <f>VLOOKUP(Tabelle434[[#This Row],[Key]],'3. Unique Results'!A:X,14,FALSE)</f>
        <v>0</v>
      </c>
      <c r="O15" t="str">
        <f>VLOOKUP(Tabelle434[[#This Row],[Key]],'3. Unique Results'!A:X,15,FALSE)</f>
        <v>41–52</v>
      </c>
      <c r="P15" t="str">
        <f>VLOOKUP(Tabelle434[[#This Row],[Key]],'3. Unique Results'!A:X,16,FALSE)</f>
        <v/>
      </c>
      <c r="Q15" t="str">
        <f>VLOOKUP(Tabelle434[[#This Row],[Key]],'3. Unique Results'!A:X,17,FALSE)</f>
        <v/>
      </c>
      <c r="R15" t="str">
        <f>VLOOKUP(Tabelle434[[#This Row],[Key]],'3. Unique Results'!A:X,18,FALSE)</f>
        <v/>
      </c>
      <c r="S15" t="str">
        <f>VLOOKUP(Tabelle434[[#This Row],[Key]],'3. Unique Results'!A:X,19,FALSE)</f>
        <v/>
      </c>
      <c r="T15" t="str">
        <f>VLOOKUP(Tabelle434[[#This Row],[Key]],'3. Unique Results'!A:X,20,FALSE)</f>
        <v>SCITEPRESS</v>
      </c>
      <c r="U15" t="str">
        <f>VLOOKUP(Tabelle434[[#This Row],[Key]],'3. Unique Results'!A:X,21,FALSE)</f>
        <v/>
      </c>
      <c r="V15" t="str">
        <f>VLOOKUP(Tabelle434[[#This Row],[Key]],'3. Unique Results'!A:X,22,FALSE)</f>
        <v/>
      </c>
      <c r="W15" t="str">
        <f>VLOOKUP(Tabelle434[[#This Row],[Key]],'3. Unique Results'!A:X,23,FALSE)</f>
        <v/>
      </c>
    </row>
    <row r="16" spans="1:23">
      <c r="A16" t="s">
        <v>4457</v>
      </c>
      <c r="B16" t="str">
        <f>VLOOKUP(Tabelle434[[#This Row],[Key]],'3. Unique Results'!A:X,2,FALSE)</f>
        <v>conferencePaper</v>
      </c>
      <c r="C16">
        <f>VLOOKUP(Tabelle434[[#This Row],[Key]],'3. Unique Results'!A:X,3,FALSE)</f>
        <v>2020</v>
      </c>
      <c r="D16" t="str">
        <f>VLOOKUP(Tabelle434[[#This Row],[Key]],'3. Unique Results'!A:X,4,FALSE)</f>
        <v>Zucker, Julian; d'Leeuwen, Myraeka</v>
      </c>
      <c r="E16" t="str">
        <f>VLOOKUP(Tabelle434[[#This Row],[Key]],'3. Unique Results'!A:X,5,FALSE)</f>
        <v>Arbiter: A Domain-Specific Language for Ethical Machine Learning</v>
      </c>
      <c r="F16" t="str">
        <f>VLOOKUP(Tabelle434[[#This Row],[Key]],'3. Unique Results'!A:X,6,FALSE)</f>
        <v>AIES '20: AAAI/ACM Conference on AI, Ethics, and Society, New York, NY, USA, February 7-8, 2020</v>
      </c>
      <c r="G16" t="str">
        <f>VLOOKUP(Tabelle434[[#This Row],[Key]],'3. Unique Results'!A:X,7,FALSE)</f>
        <v/>
      </c>
      <c r="H16" t="str">
        <f>VLOOKUP(Tabelle434[[#This Row],[Key]],'3. Unique Results'!A:X,8,FALSE)</f>
        <v/>
      </c>
      <c r="I16" t="str">
        <f>VLOOKUP(Tabelle434[[#This Row],[Key]],'3. Unique Results'!A:X,9,FALSE)</f>
        <v>10.1145/3375627.3375858</v>
      </c>
      <c r="J16" t="str">
        <f>VLOOKUP(Tabelle434[[#This Row],[Key]],'3. Unique Results'!A:X,10,FALSE)</f>
        <v>https://doi.org/10.1145/3375627.3375858</v>
      </c>
      <c r="K16" t="str">
        <f>VLOOKUP(Tabelle434[[#This Row],[Key]],'3. Unique Results'!A:X,11,FALSE)</f>
        <v>2020</v>
      </c>
      <c r="L16">
        <f>VLOOKUP(Tabelle434[[#This Row],[Key]],'3. Unique Results'!A:X,12,FALSE)</f>
        <v>44887.363807870373</v>
      </c>
      <c r="M16" s="17">
        <f>VLOOKUP(Tabelle434[[#This Row],[Key]],'3. Unique Results'!A:X,13,FALSE)</f>
        <v>44887.363807870373</v>
      </c>
      <c r="N16" s="17">
        <f>VLOOKUP(Tabelle434[[#This Row],[Key]],'3. Unique Results'!A:X,14,FALSE)</f>
        <v>0</v>
      </c>
      <c r="O16" t="str">
        <f>VLOOKUP(Tabelle434[[#This Row],[Key]],'3. Unique Results'!A:X,15,FALSE)</f>
        <v>421–425</v>
      </c>
      <c r="P16" t="str">
        <f>VLOOKUP(Tabelle434[[#This Row],[Key]],'3. Unique Results'!A:X,16,FALSE)</f>
        <v/>
      </c>
      <c r="Q16" t="str">
        <f>VLOOKUP(Tabelle434[[#This Row],[Key]],'3. Unique Results'!A:X,17,FALSE)</f>
        <v/>
      </c>
      <c r="R16" t="str">
        <f>VLOOKUP(Tabelle434[[#This Row],[Key]],'3. Unique Results'!A:X,18,FALSE)</f>
        <v/>
      </c>
      <c r="S16" t="str">
        <f>VLOOKUP(Tabelle434[[#This Row],[Key]],'3. Unique Results'!A:X,19,FALSE)</f>
        <v/>
      </c>
      <c r="T16" t="str">
        <f>VLOOKUP(Tabelle434[[#This Row],[Key]],'3. Unique Results'!A:X,20,FALSE)</f>
        <v>ACM</v>
      </c>
      <c r="U16" t="str">
        <f>VLOOKUP(Tabelle434[[#This Row],[Key]],'3. Unique Results'!A:X,21,FALSE)</f>
        <v/>
      </c>
      <c r="V16" t="str">
        <f>VLOOKUP(Tabelle434[[#This Row],[Key]],'3. Unique Results'!A:X,22,FALSE)</f>
        <v/>
      </c>
      <c r="W16" t="str">
        <f>VLOOKUP(Tabelle434[[#This Row],[Key]],'3. Unique Results'!A:X,23,FALSE)</f>
        <v/>
      </c>
    </row>
  </sheetData>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56B48-9F8A-4D4D-BA25-7C12F8CB1FAB}">
  <dimension ref="A1:W15"/>
  <sheetViews>
    <sheetView workbookViewId="0">
      <selection activeCell="X1" sqref="X1:X1048576"/>
    </sheetView>
    <sheetView workbookViewId="1"/>
  </sheetViews>
  <sheetFormatPr baseColWidth="10" defaultRowHeight="14.5"/>
  <cols>
    <col min="2" max="2" width="11.81640625" customWidth="1"/>
    <col min="3" max="3" width="17.26953125" customWidth="1"/>
    <col min="6" max="6" width="17.1796875" customWidth="1"/>
    <col min="11" max="11" width="15.26953125" customWidth="1"/>
    <col min="13" max="13" width="13.453125" customWidth="1"/>
    <col min="14" max="14" width="15.54296875" customWidth="1"/>
    <col min="15" max="15" width="13.453125" customWidth="1"/>
    <col min="17" max="17" width="12.7265625" customWidth="1"/>
  </cols>
  <sheetData>
    <row r="1" spans="1:23">
      <c r="A1" s="22" t="s">
        <v>72</v>
      </c>
      <c r="B1" s="23" t="s">
        <v>73</v>
      </c>
      <c r="C1" s="23" t="s">
        <v>74</v>
      </c>
      <c r="D1" s="23" t="s">
        <v>75</v>
      </c>
      <c r="E1" s="23" t="s">
        <v>76</v>
      </c>
      <c r="F1" s="23" t="s">
        <v>77</v>
      </c>
      <c r="G1" s="23" t="s">
        <v>78</v>
      </c>
      <c r="H1" s="23" t="s">
        <v>79</v>
      </c>
      <c r="I1" s="23" t="s">
        <v>80</v>
      </c>
      <c r="J1" s="23" t="s">
        <v>81</v>
      </c>
      <c r="K1" s="23" t="s">
        <v>82</v>
      </c>
      <c r="L1" s="23" t="s">
        <v>83</v>
      </c>
      <c r="M1" s="24" t="s">
        <v>84</v>
      </c>
      <c r="N1" s="24" t="s">
        <v>85</v>
      </c>
      <c r="O1" s="23" t="s">
        <v>86</v>
      </c>
      <c r="P1" s="23" t="s">
        <v>87</v>
      </c>
      <c r="Q1" s="23" t="s">
        <v>88</v>
      </c>
      <c r="R1" s="23" t="s">
        <v>2</v>
      </c>
      <c r="S1" s="23" t="s">
        <v>89</v>
      </c>
      <c r="T1" s="23" t="s">
        <v>90</v>
      </c>
      <c r="U1" s="23" t="s">
        <v>91</v>
      </c>
      <c r="V1" s="23" t="s">
        <v>92</v>
      </c>
      <c r="W1" s="23" t="s">
        <v>93</v>
      </c>
    </row>
    <row r="2" spans="1:23">
      <c r="A2" s="14" t="s">
        <v>5999</v>
      </c>
      <c r="B2" s="18" t="s">
        <v>94</v>
      </c>
      <c r="C2" s="18">
        <v>2019</v>
      </c>
      <c r="D2" s="18" t="s">
        <v>6000</v>
      </c>
      <c r="E2" s="18" t="s">
        <v>6001</v>
      </c>
      <c r="F2" s="18" t="s">
        <v>892</v>
      </c>
      <c r="G2" s="18" t="s">
        <v>6002</v>
      </c>
      <c r="H2" s="18" t="s">
        <v>99</v>
      </c>
      <c r="I2" s="18" t="s">
        <v>6003</v>
      </c>
      <c r="J2" s="18" t="s">
        <v>6004</v>
      </c>
      <c r="K2" s="18" t="s">
        <v>6005</v>
      </c>
      <c r="L2" s="18" t="s">
        <v>370</v>
      </c>
      <c r="M2" s="19">
        <v>44889.801898148151</v>
      </c>
      <c r="N2" s="19">
        <v>44889.801898148151</v>
      </c>
      <c r="O2" s="18" t="s">
        <v>6006</v>
      </c>
      <c r="P2" s="18" t="s">
        <v>6007</v>
      </c>
      <c r="Q2" s="18" t="s">
        <v>99</v>
      </c>
      <c r="R2" s="18"/>
      <c r="S2" s="18"/>
      <c r="T2" s="18" t="s">
        <v>99</v>
      </c>
      <c r="U2" s="18" t="s">
        <v>4072</v>
      </c>
      <c r="V2" s="18" t="s">
        <v>6008</v>
      </c>
      <c r="W2" s="18" t="s">
        <v>557</v>
      </c>
    </row>
    <row r="3" spans="1:23">
      <c r="A3" s="15" t="s">
        <v>6009</v>
      </c>
      <c r="B3" s="20" t="s">
        <v>94</v>
      </c>
      <c r="C3" s="20">
        <v>2019</v>
      </c>
      <c r="D3" s="20" t="s">
        <v>6010</v>
      </c>
      <c r="E3" s="20" t="s">
        <v>6011</v>
      </c>
      <c r="F3" s="20" t="s">
        <v>720</v>
      </c>
      <c r="G3" s="20" t="s">
        <v>99</v>
      </c>
      <c r="H3" s="20" t="s">
        <v>99</v>
      </c>
      <c r="I3" s="20" t="s">
        <v>6012</v>
      </c>
      <c r="J3" s="20" t="s">
        <v>99</v>
      </c>
      <c r="K3" s="20" t="s">
        <v>6013</v>
      </c>
      <c r="L3" s="20" t="s">
        <v>6014</v>
      </c>
      <c r="M3" s="21">
        <v>44889.822870370372</v>
      </c>
      <c r="N3" s="21">
        <v>44889.822870370372</v>
      </c>
      <c r="O3" s="20" t="s">
        <v>99</v>
      </c>
      <c r="P3" s="20" t="s">
        <v>6015</v>
      </c>
      <c r="Q3" s="20" t="s">
        <v>99</v>
      </c>
      <c r="R3" s="20"/>
      <c r="S3" s="20"/>
      <c r="T3" s="20" t="s">
        <v>99</v>
      </c>
      <c r="U3" s="20" t="s">
        <v>99</v>
      </c>
      <c r="V3" s="20" t="s">
        <v>99</v>
      </c>
      <c r="W3" s="20" t="s">
        <v>99</v>
      </c>
    </row>
    <row r="4" spans="1:23">
      <c r="A4" s="14" t="s">
        <v>6016</v>
      </c>
      <c r="B4" s="18" t="s">
        <v>94</v>
      </c>
      <c r="C4" s="18">
        <v>2019</v>
      </c>
      <c r="D4" s="18" t="s">
        <v>6017</v>
      </c>
      <c r="E4" s="18" t="s">
        <v>6018</v>
      </c>
      <c r="F4" s="18" t="s">
        <v>649</v>
      </c>
      <c r="G4" s="18" t="s">
        <v>99</v>
      </c>
      <c r="H4" s="18" t="s">
        <v>99</v>
      </c>
      <c r="I4" s="18" t="s">
        <v>6019</v>
      </c>
      <c r="J4" s="18" t="s">
        <v>99</v>
      </c>
      <c r="K4" s="18" t="s">
        <v>6020</v>
      </c>
      <c r="L4" s="18" t="s">
        <v>6014</v>
      </c>
      <c r="M4" s="19">
        <v>44889.824212962965</v>
      </c>
      <c r="N4" s="19">
        <v>44889.824212962965</v>
      </c>
      <c r="O4" s="18" t="s">
        <v>99</v>
      </c>
      <c r="P4" s="18" t="s">
        <v>6021</v>
      </c>
      <c r="Q4" s="18" t="s">
        <v>99</v>
      </c>
      <c r="R4" s="18"/>
      <c r="S4" s="18"/>
      <c r="T4" s="18" t="s">
        <v>99</v>
      </c>
      <c r="U4" s="18" t="s">
        <v>99</v>
      </c>
      <c r="V4" s="18" t="s">
        <v>99</v>
      </c>
      <c r="W4" s="18" t="s">
        <v>99</v>
      </c>
    </row>
    <row r="5" spans="1:23">
      <c r="A5" s="15" t="s">
        <v>6022</v>
      </c>
      <c r="B5" s="20" t="s">
        <v>135</v>
      </c>
      <c r="C5" s="20">
        <v>2016</v>
      </c>
      <c r="D5" s="20" t="s">
        <v>6023</v>
      </c>
      <c r="E5" s="20" t="s">
        <v>6024</v>
      </c>
      <c r="F5" s="20" t="s">
        <v>99</v>
      </c>
      <c r="G5" s="20" t="s">
        <v>99</v>
      </c>
      <c r="H5" s="20" t="s">
        <v>99</v>
      </c>
      <c r="I5" s="20" t="s">
        <v>6025</v>
      </c>
      <c r="J5" s="20" t="s">
        <v>6026</v>
      </c>
      <c r="K5" s="20" t="s">
        <v>6027</v>
      </c>
      <c r="L5" s="20" t="s">
        <v>331</v>
      </c>
      <c r="M5" s="21">
        <v>44889.837118055555</v>
      </c>
      <c r="N5" s="21">
        <v>44889.837118055555</v>
      </c>
      <c r="O5" s="20" t="s">
        <v>6028</v>
      </c>
      <c r="P5" s="20" t="s">
        <v>99</v>
      </c>
      <c r="Q5" s="20" t="s">
        <v>99</v>
      </c>
      <c r="R5" s="20"/>
      <c r="S5" s="20"/>
      <c r="T5" s="20" t="s">
        <v>99</v>
      </c>
      <c r="U5" s="20" t="s">
        <v>99</v>
      </c>
      <c r="V5" s="20" t="s">
        <v>99</v>
      </c>
      <c r="W5" s="20" t="s">
        <v>6029</v>
      </c>
    </row>
    <row r="6" spans="1:23">
      <c r="A6" s="14" t="s">
        <v>6030</v>
      </c>
      <c r="B6" s="18" t="s">
        <v>135</v>
      </c>
      <c r="C6" s="18">
        <v>2020</v>
      </c>
      <c r="D6" s="18" t="s">
        <v>673</v>
      </c>
      <c r="E6" s="18" t="s">
        <v>6031</v>
      </c>
      <c r="F6" s="18" t="s">
        <v>675</v>
      </c>
      <c r="G6" s="18" t="s">
        <v>99</v>
      </c>
      <c r="H6" s="18" t="s">
        <v>6032</v>
      </c>
      <c r="I6" s="18" t="s">
        <v>6033</v>
      </c>
      <c r="J6" s="18" t="s">
        <v>6034</v>
      </c>
      <c r="K6" s="18" t="s">
        <v>99</v>
      </c>
      <c r="L6" s="18" t="s">
        <v>176</v>
      </c>
      <c r="M6" s="19">
        <v>44889.839178240742</v>
      </c>
      <c r="N6" s="19">
        <v>44889.839178240742</v>
      </c>
      <c r="O6" s="18" t="s">
        <v>6035</v>
      </c>
      <c r="P6" s="18" t="s">
        <v>6036</v>
      </c>
      <c r="Q6" s="18" t="s">
        <v>99</v>
      </c>
      <c r="R6" s="18"/>
      <c r="S6" s="18">
        <v>8</v>
      </c>
      <c r="T6" s="18" t="s">
        <v>99</v>
      </c>
      <c r="U6" s="18" t="s">
        <v>99</v>
      </c>
      <c r="V6" s="18" t="s">
        <v>99</v>
      </c>
      <c r="W6" s="18" t="s">
        <v>99</v>
      </c>
    </row>
    <row r="7" spans="1:23">
      <c r="A7" s="15" t="s">
        <v>6037</v>
      </c>
      <c r="B7" s="20" t="s">
        <v>135</v>
      </c>
      <c r="C7" s="20">
        <v>2013</v>
      </c>
      <c r="D7" s="20" t="s">
        <v>6038</v>
      </c>
      <c r="E7" s="20" t="s">
        <v>6039</v>
      </c>
      <c r="F7" s="20" t="s">
        <v>6040</v>
      </c>
      <c r="G7" s="20" t="s">
        <v>99</v>
      </c>
      <c r="H7" s="20" t="s">
        <v>99</v>
      </c>
      <c r="I7" s="20" t="s">
        <v>6041</v>
      </c>
      <c r="J7" s="20" t="s">
        <v>6042</v>
      </c>
      <c r="K7" s="20" t="s">
        <v>6043</v>
      </c>
      <c r="L7" s="20" t="s">
        <v>6044</v>
      </c>
      <c r="M7" s="21">
        <v>44889.841192129628</v>
      </c>
      <c r="N7" s="21">
        <v>44889.841192129628</v>
      </c>
      <c r="O7" s="20" t="s">
        <v>6045</v>
      </c>
      <c r="P7" s="20" t="s">
        <v>6046</v>
      </c>
      <c r="Q7" s="20" t="s">
        <v>99</v>
      </c>
      <c r="R7" s="20">
        <v>1984</v>
      </c>
      <c r="S7" s="20">
        <v>371</v>
      </c>
      <c r="T7" s="20" t="s">
        <v>99</v>
      </c>
      <c r="U7" s="20" t="s">
        <v>99</v>
      </c>
      <c r="V7" s="20" t="s">
        <v>99</v>
      </c>
      <c r="W7" s="20" t="s">
        <v>6047</v>
      </c>
    </row>
    <row r="8" spans="1:23">
      <c r="A8" s="14" t="s">
        <v>6048</v>
      </c>
      <c r="B8" s="18" t="s">
        <v>94</v>
      </c>
      <c r="C8" s="18">
        <v>2022</v>
      </c>
      <c r="D8" s="18" t="s">
        <v>6049</v>
      </c>
      <c r="E8" s="18" t="s">
        <v>6050</v>
      </c>
      <c r="F8" s="18" t="s">
        <v>1848</v>
      </c>
      <c r="G8" s="18" t="s">
        <v>6051</v>
      </c>
      <c r="H8" s="18" t="s">
        <v>99</v>
      </c>
      <c r="I8" s="18" t="s">
        <v>6052</v>
      </c>
      <c r="J8" s="18" t="s">
        <v>99</v>
      </c>
      <c r="K8" s="18" t="s">
        <v>6053</v>
      </c>
      <c r="L8" s="18" t="s">
        <v>123</v>
      </c>
      <c r="M8" s="19">
        <v>44889.842974537038</v>
      </c>
      <c r="N8" s="19">
        <v>44889.842974537038</v>
      </c>
      <c r="O8" s="18" t="s">
        <v>99</v>
      </c>
      <c r="P8" s="18" t="s">
        <v>6054</v>
      </c>
      <c r="Q8" s="18" t="s">
        <v>99</v>
      </c>
      <c r="R8" s="18"/>
      <c r="S8" s="18"/>
      <c r="T8" s="18" t="s">
        <v>99</v>
      </c>
      <c r="U8" s="18" t="s">
        <v>1226</v>
      </c>
      <c r="V8" s="18" t="s">
        <v>1227</v>
      </c>
      <c r="W8" s="18" t="s">
        <v>99</v>
      </c>
    </row>
    <row r="9" spans="1:23">
      <c r="A9" s="15" t="s">
        <v>6055</v>
      </c>
      <c r="B9" s="20" t="s">
        <v>94</v>
      </c>
      <c r="C9" s="20">
        <v>2019</v>
      </c>
      <c r="D9" s="20" t="s">
        <v>6056</v>
      </c>
      <c r="E9" s="20" t="s">
        <v>6057</v>
      </c>
      <c r="F9" s="20" t="s">
        <v>6058</v>
      </c>
      <c r="G9" s="20" t="s">
        <v>6059</v>
      </c>
      <c r="H9" s="20" t="s">
        <v>99</v>
      </c>
      <c r="I9" s="20" t="s">
        <v>6060</v>
      </c>
      <c r="J9" s="20" t="s">
        <v>6061</v>
      </c>
      <c r="K9" s="20" t="s">
        <v>6062</v>
      </c>
      <c r="L9" s="20" t="s">
        <v>6063</v>
      </c>
      <c r="M9" s="21">
        <v>44889.853703703702</v>
      </c>
      <c r="N9" s="21">
        <v>44889.853703703702</v>
      </c>
      <c r="O9" s="20" t="s">
        <v>6064</v>
      </c>
      <c r="P9" s="20" t="s">
        <v>6065</v>
      </c>
      <c r="Q9" s="20" t="s">
        <v>99</v>
      </c>
      <c r="R9" s="20"/>
      <c r="S9" s="20"/>
      <c r="T9" s="20" t="s">
        <v>99</v>
      </c>
      <c r="U9" s="20" t="s">
        <v>104</v>
      </c>
      <c r="V9" s="20" t="s">
        <v>105</v>
      </c>
      <c r="W9" s="20" t="s">
        <v>99</v>
      </c>
    </row>
    <row r="10" spans="1:23">
      <c r="A10" s="14" t="s">
        <v>6066</v>
      </c>
      <c r="B10" s="18" t="s">
        <v>135</v>
      </c>
      <c r="C10" s="18">
        <v>2020</v>
      </c>
      <c r="D10" s="18" t="s">
        <v>3090</v>
      </c>
      <c r="E10" s="18" t="s">
        <v>6067</v>
      </c>
      <c r="F10" s="18" t="s">
        <v>6068</v>
      </c>
      <c r="G10" s="18" t="s">
        <v>99</v>
      </c>
      <c r="H10" s="18" t="s">
        <v>6069</v>
      </c>
      <c r="I10" s="18" t="s">
        <v>6070</v>
      </c>
      <c r="J10" s="18" t="s">
        <v>6071</v>
      </c>
      <c r="K10" s="18" t="s">
        <v>99</v>
      </c>
      <c r="L10" s="18" t="s">
        <v>3687</v>
      </c>
      <c r="M10" s="19">
        <v>44889.854479166665</v>
      </c>
      <c r="N10" s="19">
        <v>44889.854479166665</v>
      </c>
      <c r="O10" s="18" t="s">
        <v>6072</v>
      </c>
      <c r="P10" s="18" t="s">
        <v>6073</v>
      </c>
      <c r="Q10" s="18" t="s">
        <v>99</v>
      </c>
      <c r="R10" s="18"/>
      <c r="S10" s="18">
        <v>60</v>
      </c>
      <c r="T10" s="18" t="s">
        <v>99</v>
      </c>
      <c r="U10" s="18" t="s">
        <v>99</v>
      </c>
      <c r="V10" s="18" t="s">
        <v>99</v>
      </c>
      <c r="W10" s="18" t="s">
        <v>99</v>
      </c>
    </row>
    <row r="11" spans="1:23">
      <c r="A11" s="15" t="s">
        <v>6074</v>
      </c>
      <c r="B11" s="20" t="s">
        <v>94</v>
      </c>
      <c r="C11" s="20">
        <v>2021</v>
      </c>
      <c r="D11" s="20" t="s">
        <v>6075</v>
      </c>
      <c r="E11" s="20" t="s">
        <v>6076</v>
      </c>
      <c r="F11" s="20" t="s">
        <v>6077</v>
      </c>
      <c r="G11" s="20" t="s">
        <v>6078</v>
      </c>
      <c r="H11" s="20" t="s">
        <v>99</v>
      </c>
      <c r="I11" s="20" t="s">
        <v>6079</v>
      </c>
      <c r="J11" s="20" t="s">
        <v>6080</v>
      </c>
      <c r="K11" s="20" t="s">
        <v>6081</v>
      </c>
      <c r="L11" s="20" t="s">
        <v>6082</v>
      </c>
      <c r="M11" s="21">
        <v>44889.855138888888</v>
      </c>
      <c r="N11" s="21">
        <v>44889.855138888888</v>
      </c>
      <c r="O11" s="20" t="s">
        <v>6064</v>
      </c>
      <c r="P11" s="20" t="s">
        <v>6083</v>
      </c>
      <c r="Q11" s="20" t="s">
        <v>99</v>
      </c>
      <c r="R11" s="20"/>
      <c r="S11" s="20"/>
      <c r="T11" s="20" t="s">
        <v>99</v>
      </c>
      <c r="U11" s="20" t="s">
        <v>104</v>
      </c>
      <c r="V11" s="20" t="s">
        <v>105</v>
      </c>
      <c r="W11" s="20" t="s">
        <v>99</v>
      </c>
    </row>
    <row r="12" spans="1:23">
      <c r="A12" s="14" t="s">
        <v>6084</v>
      </c>
      <c r="B12" s="18" t="s">
        <v>94</v>
      </c>
      <c r="C12" s="18">
        <v>2017</v>
      </c>
      <c r="D12" s="18" t="s">
        <v>6085</v>
      </c>
      <c r="E12" s="18" t="s">
        <v>6086</v>
      </c>
      <c r="F12" s="18" t="s">
        <v>6087</v>
      </c>
      <c r="G12" s="18" t="s">
        <v>6088</v>
      </c>
      <c r="H12" s="18" t="s">
        <v>99</v>
      </c>
      <c r="I12" s="18" t="s">
        <v>6089</v>
      </c>
      <c r="J12" s="18" t="s">
        <v>6090</v>
      </c>
      <c r="K12" s="18" t="s">
        <v>99</v>
      </c>
      <c r="L12" s="18" t="s">
        <v>156</v>
      </c>
      <c r="M12" s="19">
        <v>44889.858356481483</v>
      </c>
      <c r="N12" s="19">
        <v>44889.858356481483</v>
      </c>
      <c r="O12" s="18" t="s">
        <v>6091</v>
      </c>
      <c r="P12" s="18" t="s">
        <v>1073</v>
      </c>
      <c r="Q12" s="18" t="s">
        <v>99</v>
      </c>
      <c r="R12" s="18"/>
      <c r="S12" s="18"/>
      <c r="T12" s="18" t="s">
        <v>99</v>
      </c>
      <c r="U12" s="18" t="s">
        <v>6092</v>
      </c>
      <c r="V12" s="18" t="s">
        <v>6093</v>
      </c>
      <c r="W12" s="18" t="s">
        <v>99</v>
      </c>
    </row>
    <row r="13" spans="1:23">
      <c r="A13" s="15" t="s">
        <v>6094</v>
      </c>
      <c r="B13" s="20" t="s">
        <v>135</v>
      </c>
      <c r="C13" s="20">
        <v>2009</v>
      </c>
      <c r="D13" s="20" t="s">
        <v>6095</v>
      </c>
      <c r="E13" s="20" t="s">
        <v>6096</v>
      </c>
      <c r="F13" s="20" t="s">
        <v>6097</v>
      </c>
      <c r="G13" s="20" t="s">
        <v>99</v>
      </c>
      <c r="H13" s="20" t="s">
        <v>6098</v>
      </c>
      <c r="I13" s="20" t="s">
        <v>6099</v>
      </c>
      <c r="J13" s="20" t="s">
        <v>6100</v>
      </c>
      <c r="K13" s="20" t="s">
        <v>6101</v>
      </c>
      <c r="L13" s="20" t="s">
        <v>6102</v>
      </c>
      <c r="M13" s="21">
        <v>44890.340902777774</v>
      </c>
      <c r="N13" s="21">
        <v>44890.340902777774</v>
      </c>
      <c r="O13" s="20" t="s">
        <v>6103</v>
      </c>
      <c r="P13" s="20" t="s">
        <v>6104</v>
      </c>
      <c r="Q13" s="20" t="s">
        <v>99</v>
      </c>
      <c r="R13" s="20">
        <v>1</v>
      </c>
      <c r="S13" s="20">
        <v>11</v>
      </c>
      <c r="T13" s="20" t="s">
        <v>99</v>
      </c>
      <c r="U13" s="20" t="s">
        <v>99</v>
      </c>
      <c r="V13" s="20" t="s">
        <v>99</v>
      </c>
      <c r="W13" s="20" t="s">
        <v>99</v>
      </c>
    </row>
    <row r="14" spans="1:23">
      <c r="A14" s="14" t="s">
        <v>6105</v>
      </c>
      <c r="B14" s="18" t="s">
        <v>94</v>
      </c>
      <c r="C14" s="18">
        <v>2014</v>
      </c>
      <c r="D14" s="18" t="s">
        <v>6106</v>
      </c>
      <c r="E14" s="18" t="s">
        <v>6107</v>
      </c>
      <c r="F14" s="18" t="s">
        <v>6108</v>
      </c>
      <c r="G14" s="18" t="s">
        <v>6109</v>
      </c>
      <c r="H14" s="18" t="s">
        <v>99</v>
      </c>
      <c r="I14" s="18" t="s">
        <v>6110</v>
      </c>
      <c r="J14" s="18" t="s">
        <v>6111</v>
      </c>
      <c r="K14" s="18" t="s">
        <v>99</v>
      </c>
      <c r="L14" s="18" t="s">
        <v>6112</v>
      </c>
      <c r="M14" s="19">
        <v>44890.498576388891</v>
      </c>
      <c r="N14" s="19">
        <v>44892.311736111114</v>
      </c>
      <c r="O14" s="18" t="s">
        <v>6113</v>
      </c>
      <c r="P14" s="18" t="s">
        <v>6114</v>
      </c>
      <c r="Q14" s="18" t="s">
        <v>99</v>
      </c>
      <c r="R14" s="18"/>
      <c r="S14" s="18"/>
      <c r="T14" s="18" t="s">
        <v>99</v>
      </c>
      <c r="U14" s="18" t="s">
        <v>4072</v>
      </c>
      <c r="V14" s="18" t="s">
        <v>6115</v>
      </c>
      <c r="W14" s="18" t="s">
        <v>6116</v>
      </c>
    </row>
    <row r="15" spans="1:23">
      <c r="A15" s="25" t="s">
        <v>6117</v>
      </c>
      <c r="B15" s="26" t="s">
        <v>94</v>
      </c>
      <c r="C15" s="26">
        <v>2016</v>
      </c>
      <c r="D15" s="26" t="s">
        <v>6118</v>
      </c>
      <c r="E15" s="26" t="s">
        <v>6119</v>
      </c>
      <c r="F15" s="26" t="s">
        <v>6120</v>
      </c>
      <c r="G15" s="26" t="s">
        <v>6121</v>
      </c>
      <c r="H15" s="26" t="s">
        <v>99</v>
      </c>
      <c r="I15" s="26" t="s">
        <v>6122</v>
      </c>
      <c r="J15" s="26" t="s">
        <v>6123</v>
      </c>
      <c r="K15" s="26" t="s">
        <v>99</v>
      </c>
      <c r="L15" s="26" t="s">
        <v>331</v>
      </c>
      <c r="M15" s="27">
        <v>44890.4997337963</v>
      </c>
      <c r="N15" s="27">
        <v>44892.311701388891</v>
      </c>
      <c r="O15" s="26" t="s">
        <v>6124</v>
      </c>
      <c r="P15" s="26" t="s">
        <v>6125</v>
      </c>
      <c r="Q15" s="26" t="s">
        <v>99</v>
      </c>
      <c r="R15" s="26"/>
      <c r="S15" s="26"/>
      <c r="T15" s="26" t="s">
        <v>99</v>
      </c>
      <c r="U15" s="26" t="s">
        <v>6092</v>
      </c>
      <c r="V15" s="26" t="s">
        <v>6126</v>
      </c>
      <c r="W15" s="26" t="s">
        <v>6127</v>
      </c>
    </row>
  </sheetData>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4252F-8322-4AA1-96FC-E2A89F64FEAE}">
  <dimension ref="A1:W11"/>
  <sheetViews>
    <sheetView workbookViewId="0">
      <selection activeCell="X1" sqref="X1:X1048576"/>
    </sheetView>
    <sheetView workbookViewId="1"/>
  </sheetViews>
  <sheetFormatPr baseColWidth="10" defaultRowHeight="14.5"/>
  <cols>
    <col min="2" max="2" width="11.81640625" customWidth="1"/>
    <col min="3" max="3" width="17.26953125" customWidth="1"/>
    <col min="6" max="6" width="17.1796875" customWidth="1"/>
    <col min="11" max="11" width="15.26953125" customWidth="1"/>
    <col min="13" max="13" width="14.90625" bestFit="1" customWidth="1"/>
    <col min="14" max="14" width="15.54296875" customWidth="1"/>
    <col min="15" max="15" width="13.453125" customWidth="1"/>
    <col min="17" max="17" width="12.7265625" customWidth="1"/>
  </cols>
  <sheetData>
    <row r="1" spans="1:23">
      <c r="A1" s="28" t="s">
        <v>72</v>
      </c>
      <c r="B1" s="29" t="s">
        <v>73</v>
      </c>
      <c r="C1" s="29" t="s">
        <v>74</v>
      </c>
      <c r="D1" s="29" t="s">
        <v>75</v>
      </c>
      <c r="E1" s="29" t="s">
        <v>76</v>
      </c>
      <c r="F1" s="29" t="s">
        <v>77</v>
      </c>
      <c r="G1" s="29" t="s">
        <v>78</v>
      </c>
      <c r="H1" s="29" t="s">
        <v>79</v>
      </c>
      <c r="I1" s="29" t="s">
        <v>80</v>
      </c>
      <c r="J1" s="29" t="s">
        <v>81</v>
      </c>
      <c r="K1" s="29" t="s">
        <v>82</v>
      </c>
      <c r="L1" s="29" t="s">
        <v>83</v>
      </c>
      <c r="M1" s="30" t="s">
        <v>84</v>
      </c>
      <c r="N1" s="30" t="s">
        <v>85</v>
      </c>
      <c r="O1" s="29" t="s">
        <v>86</v>
      </c>
      <c r="P1" s="29" t="s">
        <v>87</v>
      </c>
      <c r="Q1" s="29" t="s">
        <v>88</v>
      </c>
      <c r="R1" s="29" t="s">
        <v>2</v>
      </c>
      <c r="S1" s="29" t="s">
        <v>89</v>
      </c>
      <c r="T1" s="29" t="s">
        <v>90</v>
      </c>
      <c r="U1" s="29" t="s">
        <v>91</v>
      </c>
      <c r="V1" s="29" t="s">
        <v>92</v>
      </c>
      <c r="W1" s="29" t="s">
        <v>93</v>
      </c>
    </row>
    <row r="2" spans="1:23">
      <c r="A2" s="15" t="s">
        <v>5999</v>
      </c>
      <c r="B2" s="20" t="s">
        <v>94</v>
      </c>
      <c r="C2" s="20">
        <v>2019</v>
      </c>
      <c r="D2" s="20" t="s">
        <v>6000</v>
      </c>
      <c r="E2" s="20" t="s">
        <v>6001</v>
      </c>
      <c r="F2" s="20" t="s">
        <v>892</v>
      </c>
      <c r="G2" s="20" t="s">
        <v>6002</v>
      </c>
      <c r="H2" s="20" t="s">
        <v>99</v>
      </c>
      <c r="I2" s="20" t="s">
        <v>6003</v>
      </c>
      <c r="J2" s="20" t="s">
        <v>6004</v>
      </c>
      <c r="K2" s="20" t="s">
        <v>6005</v>
      </c>
      <c r="L2" s="20" t="s">
        <v>370</v>
      </c>
      <c r="M2" s="21">
        <v>44889.801898148151</v>
      </c>
      <c r="N2" s="21">
        <v>44889.801898148151</v>
      </c>
      <c r="O2" s="20" t="s">
        <v>6006</v>
      </c>
      <c r="P2" s="20" t="s">
        <v>6007</v>
      </c>
      <c r="Q2" s="20" t="s">
        <v>99</v>
      </c>
      <c r="R2" s="20"/>
      <c r="S2" s="20"/>
      <c r="T2" s="20" t="s">
        <v>99</v>
      </c>
      <c r="U2" s="20" t="s">
        <v>4072</v>
      </c>
      <c r="V2" s="20" t="s">
        <v>6008</v>
      </c>
      <c r="W2" s="20" t="s">
        <v>557</v>
      </c>
    </row>
    <row r="3" spans="1:23">
      <c r="A3" s="31" t="s">
        <v>6009</v>
      </c>
      <c r="B3" s="32" t="s">
        <v>94</v>
      </c>
      <c r="C3" s="32">
        <v>2019</v>
      </c>
      <c r="D3" s="32" t="s">
        <v>6010</v>
      </c>
      <c r="E3" s="32" t="s">
        <v>6011</v>
      </c>
      <c r="F3" s="32" t="s">
        <v>720</v>
      </c>
      <c r="G3" s="32" t="s">
        <v>99</v>
      </c>
      <c r="H3" s="32" t="s">
        <v>99</v>
      </c>
      <c r="I3" s="32" t="s">
        <v>6012</v>
      </c>
      <c r="J3" s="32" t="s">
        <v>99</v>
      </c>
      <c r="K3" s="32" t="s">
        <v>6013</v>
      </c>
      <c r="L3" s="32" t="s">
        <v>6014</v>
      </c>
      <c r="M3" s="33">
        <v>44889.822870370372</v>
      </c>
      <c r="N3" s="33">
        <v>44889.822870370372</v>
      </c>
      <c r="O3" s="32" t="s">
        <v>99</v>
      </c>
      <c r="P3" s="32" t="s">
        <v>6015</v>
      </c>
      <c r="Q3" s="32" t="s">
        <v>99</v>
      </c>
      <c r="R3" s="32"/>
      <c r="S3" s="32"/>
      <c r="T3" s="32" t="s">
        <v>99</v>
      </c>
      <c r="U3" s="32" t="s">
        <v>99</v>
      </c>
      <c r="V3" s="32" t="s">
        <v>99</v>
      </c>
      <c r="W3" s="32" t="s">
        <v>99</v>
      </c>
    </row>
    <row r="4" spans="1:23">
      <c r="A4" s="31" t="s">
        <v>6016</v>
      </c>
      <c r="B4" s="32" t="s">
        <v>94</v>
      </c>
      <c r="C4" s="32">
        <v>2019</v>
      </c>
      <c r="D4" s="32" t="s">
        <v>6017</v>
      </c>
      <c r="E4" s="32" t="s">
        <v>6018</v>
      </c>
      <c r="F4" s="32" t="s">
        <v>649</v>
      </c>
      <c r="G4" s="32" t="s">
        <v>99</v>
      </c>
      <c r="H4" s="32" t="s">
        <v>99</v>
      </c>
      <c r="I4" s="32" t="s">
        <v>6019</v>
      </c>
      <c r="J4" s="32" t="s">
        <v>99</v>
      </c>
      <c r="K4" s="32" t="s">
        <v>6020</v>
      </c>
      <c r="L4" s="32" t="s">
        <v>6014</v>
      </c>
      <c r="M4" s="33">
        <v>44889.824212962965</v>
      </c>
      <c r="N4" s="33">
        <v>44889.824212962965</v>
      </c>
      <c r="O4" s="32" t="s">
        <v>99</v>
      </c>
      <c r="P4" s="32" t="s">
        <v>6021</v>
      </c>
      <c r="Q4" s="32" t="s">
        <v>99</v>
      </c>
      <c r="R4" s="32"/>
      <c r="S4" s="32"/>
      <c r="T4" s="32" t="s">
        <v>99</v>
      </c>
      <c r="U4" s="32" t="s">
        <v>99</v>
      </c>
      <c r="V4" s="32" t="s">
        <v>99</v>
      </c>
      <c r="W4" s="32" t="s">
        <v>99</v>
      </c>
    </row>
    <row r="5" spans="1:23">
      <c r="A5" s="15" t="s">
        <v>6048</v>
      </c>
      <c r="B5" s="20" t="s">
        <v>94</v>
      </c>
      <c r="C5" s="20">
        <v>2022</v>
      </c>
      <c r="D5" s="20" t="s">
        <v>6049</v>
      </c>
      <c r="E5" s="20" t="s">
        <v>6050</v>
      </c>
      <c r="F5" s="20" t="s">
        <v>1848</v>
      </c>
      <c r="G5" s="20" t="s">
        <v>6051</v>
      </c>
      <c r="H5" s="20" t="s">
        <v>99</v>
      </c>
      <c r="I5" s="20" t="s">
        <v>6052</v>
      </c>
      <c r="J5" s="20" t="s">
        <v>99</v>
      </c>
      <c r="K5" s="20" t="s">
        <v>6053</v>
      </c>
      <c r="L5" s="20" t="s">
        <v>123</v>
      </c>
      <c r="M5" s="21">
        <v>44889.842974537038</v>
      </c>
      <c r="N5" s="21">
        <v>44889.842974537038</v>
      </c>
      <c r="O5" s="20" t="s">
        <v>99</v>
      </c>
      <c r="P5" s="20" t="s">
        <v>6054</v>
      </c>
      <c r="Q5" s="20" t="s">
        <v>99</v>
      </c>
      <c r="R5" s="20"/>
      <c r="S5" s="20"/>
      <c r="T5" s="20" t="s">
        <v>99</v>
      </c>
      <c r="U5" s="20" t="s">
        <v>1226</v>
      </c>
      <c r="V5" s="20" t="s">
        <v>1227</v>
      </c>
      <c r="W5" s="20" t="s">
        <v>99</v>
      </c>
    </row>
    <row r="6" spans="1:23">
      <c r="A6" s="15" t="s">
        <v>6055</v>
      </c>
      <c r="B6" s="20" t="s">
        <v>94</v>
      </c>
      <c r="C6" s="20">
        <v>2019</v>
      </c>
      <c r="D6" s="20" t="s">
        <v>6056</v>
      </c>
      <c r="E6" s="20" t="s">
        <v>6057</v>
      </c>
      <c r="F6" s="20" t="s">
        <v>6058</v>
      </c>
      <c r="G6" s="20" t="s">
        <v>6059</v>
      </c>
      <c r="H6" s="20" t="s">
        <v>99</v>
      </c>
      <c r="I6" s="20" t="s">
        <v>6060</v>
      </c>
      <c r="J6" s="20" t="s">
        <v>6061</v>
      </c>
      <c r="K6" s="20" t="s">
        <v>6062</v>
      </c>
      <c r="L6" s="20" t="s">
        <v>6063</v>
      </c>
      <c r="M6" s="21">
        <v>44889.853703703702</v>
      </c>
      <c r="N6" s="21">
        <v>44889.853703703702</v>
      </c>
      <c r="O6" s="20" t="s">
        <v>6064</v>
      </c>
      <c r="P6" s="20" t="s">
        <v>6065</v>
      </c>
      <c r="Q6" s="20" t="s">
        <v>99</v>
      </c>
      <c r="R6" s="20"/>
      <c r="S6" s="20"/>
      <c r="T6" s="20" t="s">
        <v>99</v>
      </c>
      <c r="U6" s="20" t="s">
        <v>104</v>
      </c>
      <c r="V6" s="20" t="s">
        <v>105</v>
      </c>
      <c r="W6" s="20" t="s">
        <v>99</v>
      </c>
    </row>
    <row r="7" spans="1:23">
      <c r="A7" s="15" t="s">
        <v>6066</v>
      </c>
      <c r="B7" s="20" t="s">
        <v>135</v>
      </c>
      <c r="C7" s="20">
        <v>2020</v>
      </c>
      <c r="D7" s="20" t="s">
        <v>3090</v>
      </c>
      <c r="E7" s="20" t="s">
        <v>6067</v>
      </c>
      <c r="F7" s="20" t="s">
        <v>6068</v>
      </c>
      <c r="G7" s="20" t="s">
        <v>99</v>
      </c>
      <c r="H7" s="20" t="s">
        <v>6069</v>
      </c>
      <c r="I7" s="20" t="s">
        <v>6070</v>
      </c>
      <c r="J7" s="20" t="s">
        <v>6071</v>
      </c>
      <c r="K7" s="20" t="s">
        <v>99</v>
      </c>
      <c r="L7" s="20" t="s">
        <v>3687</v>
      </c>
      <c r="M7" s="21">
        <v>44889.854479166665</v>
      </c>
      <c r="N7" s="21">
        <v>44889.854479166665</v>
      </c>
      <c r="O7" s="20" t="s">
        <v>6072</v>
      </c>
      <c r="P7" s="20" t="s">
        <v>6073</v>
      </c>
      <c r="Q7" s="20" t="s">
        <v>99</v>
      </c>
      <c r="R7" s="20"/>
      <c r="S7" s="20">
        <v>60</v>
      </c>
      <c r="T7" s="20" t="s">
        <v>99</v>
      </c>
      <c r="U7" s="20" t="s">
        <v>99</v>
      </c>
      <c r="V7" s="20" t="s">
        <v>99</v>
      </c>
      <c r="W7" s="20" t="s">
        <v>99</v>
      </c>
    </row>
    <row r="8" spans="1:23">
      <c r="A8" s="25"/>
      <c r="B8" s="26"/>
      <c r="C8" s="26"/>
      <c r="D8" s="26"/>
      <c r="E8" s="26"/>
      <c r="F8" s="26"/>
      <c r="G8" s="26"/>
      <c r="H8" s="26"/>
      <c r="I8" s="26"/>
      <c r="J8" s="26"/>
      <c r="K8" s="26"/>
      <c r="L8" s="26"/>
      <c r="M8" s="27"/>
      <c r="N8" s="27"/>
      <c r="O8" s="26"/>
      <c r="P8" s="26"/>
      <c r="Q8" s="26"/>
      <c r="R8" s="26"/>
      <c r="S8" s="26"/>
      <c r="T8" s="26"/>
      <c r="U8" s="26"/>
      <c r="V8" s="26"/>
      <c r="W8" s="26"/>
    </row>
    <row r="11" spans="1:23">
      <c r="C11" s="34" t="s">
        <v>6129</v>
      </c>
    </row>
  </sheetData>
  <pageMargins left="0.7" right="0.7" top="0.78740157499999996" bottom="0.78740157499999996" header="0.3" footer="0.3"/>
  <pageSetup paperSize="0" orientation="portrait" horizontalDpi="203" verticalDpi="203"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83B0C-01A4-415E-906D-4B6614E769E1}">
  <dimension ref="A1:U20"/>
  <sheetViews>
    <sheetView zoomScaleNormal="100" workbookViewId="0">
      <pane xSplit="4" ySplit="4" topLeftCell="E5" activePane="bottomRight" state="frozen"/>
      <selection pane="topRight" activeCell="E1" sqref="E1"/>
      <selection pane="bottomLeft" activeCell="A4" sqref="A4"/>
      <selection pane="bottomRight" activeCell="U18" sqref="U18"/>
    </sheetView>
    <sheetView tabSelected="1" workbookViewId="1"/>
  </sheetViews>
  <sheetFormatPr baseColWidth="10" defaultRowHeight="14.5"/>
  <cols>
    <col min="3" max="3" width="30.453125" customWidth="1"/>
    <col min="4" max="4" width="14.7265625" bestFit="1" customWidth="1"/>
    <col min="5" max="21" width="36" customWidth="1"/>
  </cols>
  <sheetData>
    <row r="1" spans="1:21">
      <c r="D1">
        <v>1</v>
      </c>
      <c r="E1">
        <v>2</v>
      </c>
      <c r="F1">
        <v>3</v>
      </c>
      <c r="G1">
        <v>4</v>
      </c>
      <c r="H1">
        <v>5</v>
      </c>
      <c r="I1">
        <v>6</v>
      </c>
      <c r="J1">
        <v>7</v>
      </c>
      <c r="K1">
        <v>8</v>
      </c>
      <c r="L1">
        <v>9</v>
      </c>
      <c r="M1">
        <v>10</v>
      </c>
      <c r="N1">
        <v>11</v>
      </c>
      <c r="O1">
        <v>12</v>
      </c>
      <c r="P1">
        <v>13</v>
      </c>
      <c r="Q1">
        <v>14</v>
      </c>
      <c r="R1">
        <v>15</v>
      </c>
      <c r="S1">
        <v>16</v>
      </c>
      <c r="T1">
        <v>17</v>
      </c>
      <c r="U1">
        <v>18</v>
      </c>
    </row>
    <row r="2" spans="1:21">
      <c r="D2" t="s">
        <v>4437</v>
      </c>
      <c r="E2" t="s">
        <v>4439</v>
      </c>
      <c r="F2" t="s">
        <v>4446</v>
      </c>
      <c r="G2" t="s">
        <v>4460</v>
      </c>
      <c r="H2" t="s">
        <v>6066</v>
      </c>
      <c r="I2" t="s">
        <v>4433</v>
      </c>
      <c r="J2" t="s">
        <v>4445</v>
      </c>
      <c r="K2" t="s">
        <v>4465</v>
      </c>
      <c r="L2" t="s">
        <v>4441</v>
      </c>
      <c r="M2" t="s">
        <v>6055</v>
      </c>
      <c r="N2" t="s">
        <v>4461</v>
      </c>
      <c r="O2" t="s">
        <v>5999</v>
      </c>
      <c r="P2" t="s">
        <v>4440</v>
      </c>
      <c r="Q2" t="s">
        <v>6048</v>
      </c>
      <c r="R2" t="s">
        <v>4453</v>
      </c>
      <c r="S2" t="s">
        <v>4462</v>
      </c>
      <c r="T2" t="s">
        <v>4434</v>
      </c>
      <c r="U2" t="s">
        <v>4457</v>
      </c>
    </row>
    <row r="3" spans="1:21" s="74" customFormat="1" ht="56.5" customHeight="1">
      <c r="A3" s="70"/>
      <c r="B3" s="71"/>
      <c r="C3" s="72"/>
      <c r="D3" s="73" t="str">
        <f>VLOOKUP(D2,'3. Unique Results'!$A:$X,4,FALSE)</f>
        <v>Al-Azzoni, Issam</v>
      </c>
      <c r="E3" s="68" t="str">
        <f>VLOOKUP(E2,'3. Unique Results'!$A:$X,4,FALSE)</f>
        <v>Bhattacharjee, Anirban; Barve, Yogesh; Khare, Shweta; Bao, Shunxing; Kang, Zhuangwei; Gokhale, Aniruddha; Damiano, Thomas</v>
      </c>
      <c r="F3" s="68" t="str">
        <f>VLOOKUP(F2,'3. Unique Results'!$A:$X,4,FALSE)</f>
        <v>Breuker, D.</v>
      </c>
      <c r="G3" s="68" t="str">
        <f>VLOOKUP(G2,'3. Unique Results'!$A:$X,4,FALSE)</f>
        <v>Burnay, Corentin; Giunta, Benito</v>
      </c>
      <c r="H3" s="68" t="s">
        <v>3090</v>
      </c>
      <c r="I3" s="68" t="str">
        <f>VLOOKUP(I2,'3. Unique Results'!$A:$X,4,FALSE)</f>
        <v>Dethlefs, Nina; Hawick, Ken</v>
      </c>
      <c r="J3" s="68" t="str">
        <f>VLOOKUP(J2,'3. Unique Results'!$A:$X,4,FALSE)</f>
        <v>Giner-Miguelez, J.; Gómez, A.; Cabot, J.</v>
      </c>
      <c r="K3" s="68" t="str">
        <f>VLOOKUP(K2,'3. Unique Results'!$A:$X,4,FALSE)</f>
        <v>Hartmann, Thomas; Moawad, Assaad; Fouquet, Francois; Traon, Yves Le</v>
      </c>
      <c r="L3" s="68" t="str">
        <f>VLOOKUP(L2,'3. Unique Results'!$A:$X,4,FALSE)</f>
        <v>Hartmann, Thomas; Moawad, Assaad; Schockaert, Cedric; Fouquet, Francois; Le Traon, Yves</v>
      </c>
      <c r="M3" s="69" t="s">
        <v>6056</v>
      </c>
      <c r="N3" s="68" t="str">
        <f>VLOOKUP(N2,'3. Unique Results'!$A:$X,4,FALSE)</f>
        <v>Koseler, Kaan; McGraw, Kelsea; Stephan, Matthew</v>
      </c>
      <c r="O3" s="68" t="s">
        <v>6000</v>
      </c>
      <c r="P3" s="68" t="str">
        <f>VLOOKUP(P2,'3. Unique Results'!$A:$X,4,FALSE)</f>
        <v>Meacham, Sofia; Pech, Vaclav; Nauck, Detlef</v>
      </c>
      <c r="Q3" s="69" t="s">
        <v>6049</v>
      </c>
      <c r="R3" s="68" t="str">
        <f>VLOOKUP(R2,'3. Unique Results'!$A:$X,4,FALSE)</f>
        <v>Moin, Armin; Badii, Atta; Günnemann, Stephan</v>
      </c>
      <c r="S3" s="68" t="str">
        <f>VLOOKUP(S2,'3. Unique Results'!$A:$X,4,FALSE)</f>
        <v>Morales, Sergio; Clarisó, Robert; Cabot, Jordi</v>
      </c>
      <c r="T3" s="68" t="str">
        <f>VLOOKUP(T2,'3. Unique Results'!$A:$X,4,FALSE)</f>
        <v>Ries, Benoît; Guelfi, Nicolas; Jahic, Benjamin</v>
      </c>
      <c r="U3" s="68" t="str">
        <f>VLOOKUP(U2,'3. Unique Results'!$A:$X,4,FALSE)</f>
        <v>Zucker, Julian; d'Leeuwen, Myraeka</v>
      </c>
    </row>
    <row r="4" spans="1:21" ht="89.25" customHeight="1" thickBot="1">
      <c r="A4" s="36" t="s">
        <v>4470</v>
      </c>
      <c r="B4" s="37" t="s">
        <v>4471</v>
      </c>
      <c r="C4" s="38"/>
      <c r="D4" s="39" t="str">
        <f>VLOOKUP(D2,'3. Unique Results'!$A:$X,5,FALSE)</f>
        <v>Model Driven Approach for Neural Networks</v>
      </c>
      <c r="E4" s="40" t="str">
        <f>VLOOKUP(E2,'3. Unique Results'!$A:$X,5,FALSE)</f>
        <v>STRATUM: A BigData-as-a-Service for Lifecycle Management of IoT Analytics Applications</v>
      </c>
      <c r="F4" s="39" t="str">
        <f>VLOOKUP(F2,'3. Unique Results'!$A:$X,5,FALSE)</f>
        <v>Towards Model-Driven Engineering for Big Data Analytics–An Exploratory Analysis of Domain-Specific Languages for Machine Learning</v>
      </c>
      <c r="G4" s="40" t="str">
        <f>VLOOKUP(G2,'3. Unique Results'!$A:$X,5,FALSE)</f>
        <v>Towards Integrated Model-Driven Engineering Approach to Business Intelligence</v>
      </c>
      <c r="H4" s="39" t="s">
        <v>6067</v>
      </c>
      <c r="I4" s="40" t="str">
        <f>VLOOKUP(I2,'3. Unique Results'!$A:$X,5,FALSE)</f>
        <v>DEFIne: A Fluent Interface DSL for Deep Learning Applications</v>
      </c>
      <c r="J4" s="39" t="str">
        <f>VLOOKUP(J2,'3. Unique Results'!$A:$X,5,FALSE)</f>
        <v>A domain-specific language for describing machine learning dataset</v>
      </c>
      <c r="K4" s="40" t="str">
        <f>VLOOKUP(K2,'3. Unique Results'!$A:$X,5,FALSE)</f>
        <v>The next Evolution of MDE: A Seamless Integration of Machine Learning into Domain Modeling</v>
      </c>
      <c r="L4" s="39" t="str">
        <f>VLOOKUP(L2,'3. Unique Results'!$A:$X,5,FALSE)</f>
        <v>Meta-Modelling Meta-Learning</v>
      </c>
      <c r="M4" s="41" t="s">
        <v>6057</v>
      </c>
      <c r="N4" s="39" t="str">
        <f>VLOOKUP(N2,'3. Unique Results'!$A:$X,5,FALSE)</f>
        <v>Realization of a Machine Learning Domain Specific Modeling Language: A Baseball Analytics Case Study</v>
      </c>
      <c r="O4" s="40" t="s">
        <v>6001</v>
      </c>
      <c r="P4" s="39" t="str">
        <f>VLOOKUP(P2,'3. Unique Results'!$A:$X,5,FALSE)</f>
        <v>AdaptiveSystems: An Integrated Framework for Adaptive Systems Design and Development Using MPS JetBrains Domain-Specific Modeling Environment</v>
      </c>
      <c r="Q4" s="41" t="s">
        <v>6050</v>
      </c>
      <c r="R4" s="39" t="str">
        <f>VLOOKUP(R2,'3. Unique Results'!$A:$X,5,FALSE)</f>
        <v>A Model-Driven Engineering Approach to Machine Learning and Software Modeling</v>
      </c>
      <c r="S4" s="40" t="str">
        <f>VLOOKUP(S2,'3. Unique Results'!$A:$X,5,FALSE)</f>
        <v>Towards a DSL for AI Engineering Process Modeling</v>
      </c>
      <c r="T4" s="39" t="str">
        <f>VLOOKUP(T2,'3. Unique Results'!$A:$X,5,FALSE)</f>
        <v>An MDE Method for Improving Deep Learning Dataset Requirements Engineering using Alloy and UML</v>
      </c>
      <c r="U4" s="40" t="str">
        <f>VLOOKUP(U2,'3. Unique Results'!$A:$X,5,FALSE)</f>
        <v>Arbiter: A Domain-Specific Language for Ethical Machine Learning</v>
      </c>
    </row>
    <row r="5" spans="1:21" ht="15" thickBot="1">
      <c r="A5" s="42"/>
      <c r="B5" s="43"/>
      <c r="C5" s="44" t="s">
        <v>5982</v>
      </c>
      <c r="D5" s="45" t="s">
        <v>5983</v>
      </c>
      <c r="E5" s="45" t="s">
        <v>5983</v>
      </c>
      <c r="F5" s="35" t="s">
        <v>5993</v>
      </c>
      <c r="G5" s="38" t="s">
        <v>5987</v>
      </c>
      <c r="H5" s="35" t="s">
        <v>5983</v>
      </c>
      <c r="I5" s="38" t="s">
        <v>5983</v>
      </c>
      <c r="J5" s="35" t="s">
        <v>5983</v>
      </c>
      <c r="K5" s="38" t="s">
        <v>5983</v>
      </c>
      <c r="L5" s="35" t="s">
        <v>5987</v>
      </c>
      <c r="M5" s="38" t="s">
        <v>5983</v>
      </c>
      <c r="N5" s="46" t="s">
        <v>5991</v>
      </c>
      <c r="O5" s="38" t="s">
        <v>5983</v>
      </c>
      <c r="P5" s="35" t="s">
        <v>5983</v>
      </c>
      <c r="Q5" s="38" t="s">
        <v>5983</v>
      </c>
      <c r="R5" s="46" t="s">
        <v>5983</v>
      </c>
      <c r="S5" s="38" t="s">
        <v>5987</v>
      </c>
      <c r="T5" s="35" t="s">
        <v>5983</v>
      </c>
      <c r="U5" s="38" t="s">
        <v>5984</v>
      </c>
    </row>
    <row r="6" spans="1:21" ht="15" thickBot="1">
      <c r="A6" s="58" t="s">
        <v>8</v>
      </c>
      <c r="B6" s="59" t="s">
        <v>33</v>
      </c>
      <c r="C6" s="43" t="s">
        <v>4472</v>
      </c>
      <c r="D6" s="47" t="s">
        <v>5980</v>
      </c>
      <c r="E6" s="45" t="s">
        <v>5980</v>
      </c>
      <c r="F6" s="35" t="s">
        <v>5979</v>
      </c>
      <c r="G6" s="38" t="s">
        <v>5979</v>
      </c>
      <c r="H6" s="35" t="s">
        <v>5980</v>
      </c>
      <c r="I6" s="38" t="s">
        <v>5979</v>
      </c>
      <c r="J6" s="35" t="s">
        <v>5980</v>
      </c>
      <c r="K6" s="38" t="s">
        <v>5980</v>
      </c>
      <c r="L6" s="35" t="s">
        <v>5980</v>
      </c>
      <c r="M6" s="38" t="s">
        <v>5980</v>
      </c>
      <c r="N6" s="35" t="s">
        <v>5980</v>
      </c>
      <c r="O6" s="38" t="s">
        <v>5979</v>
      </c>
      <c r="P6" s="35" t="s">
        <v>5979</v>
      </c>
      <c r="Q6" s="38" t="s">
        <v>5980</v>
      </c>
      <c r="R6" s="35" t="s">
        <v>5980</v>
      </c>
      <c r="S6" s="38" t="s">
        <v>5980</v>
      </c>
      <c r="T6" s="35" t="s">
        <v>5980</v>
      </c>
      <c r="U6" s="38" t="s">
        <v>5979</v>
      </c>
    </row>
    <row r="7" spans="1:21" ht="15" thickBot="1">
      <c r="A7" s="60"/>
      <c r="B7" s="61"/>
      <c r="C7" s="43" t="s">
        <v>4474</v>
      </c>
      <c r="D7" s="47" t="s">
        <v>5979</v>
      </c>
      <c r="E7" s="45" t="s">
        <v>5980</v>
      </c>
      <c r="F7" s="35" t="s">
        <v>5980</v>
      </c>
      <c r="G7" s="38" t="s">
        <v>5979</v>
      </c>
      <c r="H7" s="35" t="s">
        <v>5980</v>
      </c>
      <c r="I7" s="38" t="s">
        <v>5979</v>
      </c>
      <c r="J7" s="35" t="s">
        <v>5980</v>
      </c>
      <c r="K7" s="38" t="s">
        <v>5980</v>
      </c>
      <c r="L7" s="35" t="s">
        <v>5980</v>
      </c>
      <c r="M7" s="38" t="s">
        <v>5980</v>
      </c>
      <c r="N7" s="35" t="s">
        <v>5980</v>
      </c>
      <c r="O7" s="38" t="s">
        <v>5980</v>
      </c>
      <c r="P7" s="35" t="s">
        <v>5980</v>
      </c>
      <c r="Q7" s="38" t="s">
        <v>5980</v>
      </c>
      <c r="R7" s="35" t="s">
        <v>5980</v>
      </c>
      <c r="S7" s="38" t="s">
        <v>5980</v>
      </c>
      <c r="T7" s="35" t="s">
        <v>5979</v>
      </c>
      <c r="U7" s="38" t="s">
        <v>5979</v>
      </c>
    </row>
    <row r="8" spans="1:21" ht="15" thickBot="1">
      <c r="A8" s="60"/>
      <c r="B8" s="61"/>
      <c r="C8" s="49" t="s">
        <v>4473</v>
      </c>
      <c r="D8" s="50" t="s">
        <v>5980</v>
      </c>
      <c r="E8" s="45" t="s">
        <v>5980</v>
      </c>
      <c r="F8" s="35" t="s">
        <v>5979</v>
      </c>
      <c r="G8" s="38" t="s">
        <v>5979</v>
      </c>
      <c r="H8" s="35" t="s">
        <v>5980</v>
      </c>
      <c r="I8" s="38" t="s">
        <v>5980</v>
      </c>
      <c r="J8" s="35" t="s">
        <v>5980</v>
      </c>
      <c r="K8" s="38" t="s">
        <v>5980</v>
      </c>
      <c r="L8" s="35" t="s">
        <v>5980</v>
      </c>
      <c r="M8" s="38" t="s">
        <v>5980</v>
      </c>
      <c r="N8" s="35" t="s">
        <v>5980</v>
      </c>
      <c r="O8" s="38" t="s">
        <v>5980</v>
      </c>
      <c r="P8" s="35" t="s">
        <v>5980</v>
      </c>
      <c r="Q8" s="38" t="s">
        <v>5979</v>
      </c>
      <c r="R8" s="35" t="s">
        <v>5980</v>
      </c>
      <c r="S8" s="38" t="s">
        <v>5980</v>
      </c>
      <c r="T8" s="35" t="s">
        <v>5980</v>
      </c>
      <c r="U8" s="38" t="s">
        <v>5980</v>
      </c>
    </row>
    <row r="9" spans="1:21" ht="15" thickBot="1">
      <c r="A9" s="60"/>
      <c r="B9" s="61"/>
      <c r="C9" s="49" t="s">
        <v>4475</v>
      </c>
      <c r="D9" s="50" t="s">
        <v>5980</v>
      </c>
      <c r="E9" s="45" t="s">
        <v>5980</v>
      </c>
      <c r="F9" s="35" t="s">
        <v>5979</v>
      </c>
      <c r="G9" s="38" t="s">
        <v>5979</v>
      </c>
      <c r="H9" s="35" t="s">
        <v>5979</v>
      </c>
      <c r="I9" s="38" t="s">
        <v>5979</v>
      </c>
      <c r="J9" s="35" t="s">
        <v>5979</v>
      </c>
      <c r="K9" s="38" t="s">
        <v>5979</v>
      </c>
      <c r="L9" s="35" t="s">
        <v>5979</v>
      </c>
      <c r="M9" s="38" t="s">
        <v>5980</v>
      </c>
      <c r="N9" s="35" t="s">
        <v>5980</v>
      </c>
      <c r="O9" s="38" t="s">
        <v>5979</v>
      </c>
      <c r="P9" s="35" t="s">
        <v>5979</v>
      </c>
      <c r="Q9" s="38" t="s">
        <v>5980</v>
      </c>
      <c r="R9" s="35" t="s">
        <v>5979</v>
      </c>
      <c r="S9" s="38" t="s">
        <v>5979</v>
      </c>
      <c r="T9" s="35" t="s">
        <v>5980</v>
      </c>
      <c r="U9" s="38" t="s">
        <v>5980</v>
      </c>
    </row>
    <row r="10" spans="1:21" ht="15" thickBot="1">
      <c r="A10" s="60"/>
      <c r="B10" s="61"/>
      <c r="C10" s="43" t="s">
        <v>4476</v>
      </c>
      <c r="D10" s="47" t="s">
        <v>5980</v>
      </c>
      <c r="E10" s="45" t="s">
        <v>5980</v>
      </c>
      <c r="F10" s="35" t="s">
        <v>5979</v>
      </c>
      <c r="G10" s="38" t="s">
        <v>5979</v>
      </c>
      <c r="H10" s="35" t="s">
        <v>5980</v>
      </c>
      <c r="I10" s="38" t="s">
        <v>5979</v>
      </c>
      <c r="J10" s="35" t="s">
        <v>5979</v>
      </c>
      <c r="K10" s="38" t="s">
        <v>5980</v>
      </c>
      <c r="L10" s="35" t="s">
        <v>5980</v>
      </c>
      <c r="M10" s="38" t="s">
        <v>5980</v>
      </c>
      <c r="N10" s="35" t="s">
        <v>5980</v>
      </c>
      <c r="O10" s="38" t="s">
        <v>5980</v>
      </c>
      <c r="P10" s="35" t="s">
        <v>5980</v>
      </c>
      <c r="Q10" s="38" t="s">
        <v>5979</v>
      </c>
      <c r="R10" s="35" t="s">
        <v>5980</v>
      </c>
      <c r="S10" s="38" t="s">
        <v>5979</v>
      </c>
      <c r="T10" s="35" t="s">
        <v>5980</v>
      </c>
      <c r="U10" s="38" t="s">
        <v>5979</v>
      </c>
    </row>
    <row r="11" spans="1:21" ht="15" thickBot="1">
      <c r="A11" s="62" t="s">
        <v>4477</v>
      </c>
      <c r="B11" s="63" t="s">
        <v>30</v>
      </c>
      <c r="C11" s="48" t="s">
        <v>4478</v>
      </c>
      <c r="D11" s="53" t="s">
        <v>5979</v>
      </c>
      <c r="E11" s="45" t="s">
        <v>5979</v>
      </c>
      <c r="F11" s="35" t="s">
        <v>5979</v>
      </c>
      <c r="G11" s="38" t="s">
        <v>5979</v>
      </c>
      <c r="H11" s="35" t="s">
        <v>5979</v>
      </c>
      <c r="I11" s="38" t="s">
        <v>5979</v>
      </c>
      <c r="J11" s="35" t="s">
        <v>5979</v>
      </c>
      <c r="K11" s="38" t="s">
        <v>5979</v>
      </c>
      <c r="L11" s="35" t="s">
        <v>5979</v>
      </c>
      <c r="M11" s="38" t="s">
        <v>5980</v>
      </c>
      <c r="N11" s="35" t="s">
        <v>5979</v>
      </c>
      <c r="O11" s="38" t="s">
        <v>5979</v>
      </c>
      <c r="P11" s="35" t="s">
        <v>5979</v>
      </c>
      <c r="Q11" s="38" t="s">
        <v>5979</v>
      </c>
      <c r="R11" s="35" t="s">
        <v>5979</v>
      </c>
      <c r="S11" s="38" t="s">
        <v>5980</v>
      </c>
      <c r="T11" s="35" t="s">
        <v>5980</v>
      </c>
      <c r="U11" s="38" t="s">
        <v>5980</v>
      </c>
    </row>
    <row r="12" spans="1:21" ht="15" thickBot="1">
      <c r="A12" s="64"/>
      <c r="B12" s="65"/>
      <c r="C12" s="49" t="s">
        <v>4479</v>
      </c>
      <c r="D12" s="50" t="s">
        <v>5979</v>
      </c>
      <c r="E12" s="45" t="s">
        <v>5979</v>
      </c>
      <c r="F12" s="35" t="s">
        <v>5979</v>
      </c>
      <c r="G12" s="38" t="s">
        <v>5980</v>
      </c>
      <c r="H12" s="35" t="s">
        <v>5979</v>
      </c>
      <c r="I12" s="38" t="s">
        <v>5979</v>
      </c>
      <c r="J12" s="35" t="s">
        <v>5979</v>
      </c>
      <c r="K12" s="38" t="s">
        <v>5979</v>
      </c>
      <c r="L12" s="35" t="s">
        <v>5979</v>
      </c>
      <c r="M12" s="38" t="s">
        <v>5980</v>
      </c>
      <c r="N12" s="35" t="s">
        <v>5979</v>
      </c>
      <c r="O12" s="38" t="s">
        <v>5979</v>
      </c>
      <c r="P12" s="35" t="s">
        <v>5979</v>
      </c>
      <c r="Q12" s="38" t="s">
        <v>5979</v>
      </c>
      <c r="R12" s="35" t="s">
        <v>5979</v>
      </c>
      <c r="S12" s="38" t="s">
        <v>5980</v>
      </c>
      <c r="T12" s="35" t="s">
        <v>5979</v>
      </c>
      <c r="U12" s="38" t="s">
        <v>5979</v>
      </c>
    </row>
    <row r="13" spans="1:21" ht="15" thickBot="1">
      <c r="A13" s="64"/>
      <c r="B13" s="65"/>
      <c r="C13" s="43" t="s">
        <v>4480</v>
      </c>
      <c r="D13" s="47" t="s">
        <v>5979</v>
      </c>
      <c r="E13" s="45" t="s">
        <v>5979</v>
      </c>
      <c r="F13" s="35" t="s">
        <v>5980</v>
      </c>
      <c r="G13" s="38" t="s">
        <v>5980</v>
      </c>
      <c r="H13" s="35" t="s">
        <v>5980</v>
      </c>
      <c r="I13" s="38" t="s">
        <v>5979</v>
      </c>
      <c r="J13" s="35" t="s">
        <v>5980</v>
      </c>
      <c r="K13" s="38" t="s">
        <v>5980</v>
      </c>
      <c r="L13" s="35" t="s">
        <v>5980</v>
      </c>
      <c r="M13" s="38" t="s">
        <v>5979</v>
      </c>
      <c r="N13" s="35" t="s">
        <v>5980</v>
      </c>
      <c r="O13" s="38" t="s">
        <v>5979</v>
      </c>
      <c r="P13" s="35" t="s">
        <v>5979</v>
      </c>
      <c r="Q13" s="38" t="s">
        <v>5980</v>
      </c>
      <c r="R13" s="35" t="s">
        <v>5979</v>
      </c>
      <c r="S13" s="38" t="s">
        <v>5979</v>
      </c>
      <c r="T13" s="35" t="s">
        <v>5980</v>
      </c>
      <c r="U13" s="38" t="s">
        <v>5979</v>
      </c>
    </row>
    <row r="14" spans="1:21" ht="15" thickBot="1">
      <c r="A14" s="64"/>
      <c r="B14" s="65"/>
      <c r="C14" s="49" t="s">
        <v>4481</v>
      </c>
      <c r="D14" s="50" t="s">
        <v>5980</v>
      </c>
      <c r="E14" s="45" t="s">
        <v>5980</v>
      </c>
      <c r="F14" s="35" t="s">
        <v>5979</v>
      </c>
      <c r="G14" s="38" t="s">
        <v>5979</v>
      </c>
      <c r="H14" s="35" t="s">
        <v>5980</v>
      </c>
      <c r="I14" s="38" t="s">
        <v>5980</v>
      </c>
      <c r="J14" s="35" t="s">
        <v>5979</v>
      </c>
      <c r="K14" s="38" t="s">
        <v>5979</v>
      </c>
      <c r="L14" s="35" t="s">
        <v>5979</v>
      </c>
      <c r="M14" s="38" t="s">
        <v>5980</v>
      </c>
      <c r="N14" s="35" t="s">
        <v>5979</v>
      </c>
      <c r="O14" s="38" t="s">
        <v>5980</v>
      </c>
      <c r="P14" s="35" t="s">
        <v>5980</v>
      </c>
      <c r="Q14" s="38" t="s">
        <v>5980</v>
      </c>
      <c r="R14" s="35" t="s">
        <v>5980</v>
      </c>
      <c r="S14" s="38" t="s">
        <v>5980</v>
      </c>
      <c r="T14" s="35" t="s">
        <v>5979</v>
      </c>
      <c r="U14" s="38" t="s">
        <v>5980</v>
      </c>
    </row>
    <row r="15" spans="1:21" ht="15" thickBot="1">
      <c r="A15" s="64"/>
      <c r="B15" s="65"/>
      <c r="C15" s="43" t="s">
        <v>4482</v>
      </c>
      <c r="D15" s="47" t="s">
        <v>5980</v>
      </c>
      <c r="E15" s="45" t="s">
        <v>5980</v>
      </c>
      <c r="F15" s="35" t="s">
        <v>5979</v>
      </c>
      <c r="G15" s="38" t="s">
        <v>5979</v>
      </c>
      <c r="H15" s="35" t="s">
        <v>5979</v>
      </c>
      <c r="I15" s="38" t="s">
        <v>5980</v>
      </c>
      <c r="J15" s="35" t="s">
        <v>5979</v>
      </c>
      <c r="K15" s="38" t="s">
        <v>5979</v>
      </c>
      <c r="L15" s="35" t="s">
        <v>5979</v>
      </c>
      <c r="M15" s="38" t="s">
        <v>5979</v>
      </c>
      <c r="N15" s="35" t="s">
        <v>5979</v>
      </c>
      <c r="O15" s="38" t="s">
        <v>5979</v>
      </c>
      <c r="P15" s="35" t="s">
        <v>5979</v>
      </c>
      <c r="Q15" s="38" t="s">
        <v>5980</v>
      </c>
      <c r="R15" s="35" t="s">
        <v>5980</v>
      </c>
      <c r="S15" s="38" t="s">
        <v>5980</v>
      </c>
      <c r="T15" s="35" t="s">
        <v>5979</v>
      </c>
      <c r="U15" s="38" t="s">
        <v>5979</v>
      </c>
    </row>
    <row r="16" spans="1:21" ht="15" thickBot="1">
      <c r="A16" s="64"/>
      <c r="B16" s="65"/>
      <c r="C16" s="49" t="s">
        <v>4483</v>
      </c>
      <c r="D16" s="50" t="s">
        <v>5980</v>
      </c>
      <c r="E16" s="45" t="s">
        <v>5980</v>
      </c>
      <c r="F16" s="35" t="s">
        <v>5980</v>
      </c>
      <c r="G16" s="38" t="s">
        <v>5979</v>
      </c>
      <c r="H16" s="35" t="s">
        <v>5979</v>
      </c>
      <c r="I16" s="38" t="s">
        <v>5980</v>
      </c>
      <c r="J16" s="35" t="s">
        <v>5979</v>
      </c>
      <c r="K16" s="38" t="s">
        <v>5980</v>
      </c>
      <c r="L16" s="35" t="s">
        <v>5980</v>
      </c>
      <c r="M16" s="38" t="s">
        <v>5980</v>
      </c>
      <c r="N16" s="35" t="s">
        <v>5980</v>
      </c>
      <c r="O16" s="38" t="s">
        <v>5980</v>
      </c>
      <c r="P16" s="35" t="s">
        <v>5980</v>
      </c>
      <c r="Q16" s="38" t="s">
        <v>5980</v>
      </c>
      <c r="R16" s="35" t="s">
        <v>5980</v>
      </c>
      <c r="S16" s="38" t="s">
        <v>5980</v>
      </c>
      <c r="T16" s="35" t="s">
        <v>5979</v>
      </c>
      <c r="U16" s="38" t="s">
        <v>5979</v>
      </c>
    </row>
    <row r="17" spans="1:21" ht="15" thickBot="1">
      <c r="A17" s="66"/>
      <c r="B17" s="67"/>
      <c r="C17" s="43" t="s">
        <v>4484</v>
      </c>
      <c r="D17" s="47" t="s">
        <v>5979</v>
      </c>
      <c r="E17" s="45" t="s">
        <v>5980</v>
      </c>
      <c r="F17" s="35" t="s">
        <v>5979</v>
      </c>
      <c r="G17" s="38" t="s">
        <v>5979</v>
      </c>
      <c r="H17" s="35" t="s">
        <v>5979</v>
      </c>
      <c r="I17" s="38" t="s">
        <v>5980</v>
      </c>
      <c r="J17" s="35" t="s">
        <v>5979</v>
      </c>
      <c r="K17" s="38" t="s">
        <v>5979</v>
      </c>
      <c r="L17" s="35" t="s">
        <v>5979</v>
      </c>
      <c r="M17" s="38" t="s">
        <v>5980</v>
      </c>
      <c r="N17" s="35" t="s">
        <v>5979</v>
      </c>
      <c r="O17" s="38" t="s">
        <v>5980</v>
      </c>
      <c r="P17" s="35" t="s">
        <v>5979</v>
      </c>
      <c r="Q17" s="38" t="s">
        <v>5979</v>
      </c>
      <c r="R17" s="35" t="s">
        <v>5980</v>
      </c>
      <c r="S17" s="38" t="s">
        <v>5979</v>
      </c>
      <c r="T17" s="35" t="s">
        <v>5979</v>
      </c>
      <c r="U17" s="38" t="s">
        <v>5979</v>
      </c>
    </row>
    <row r="18" spans="1:21" ht="29">
      <c r="A18" s="36" t="s">
        <v>10</v>
      </c>
      <c r="B18" s="50" t="s">
        <v>4485</v>
      </c>
      <c r="C18" s="49" t="s">
        <v>6142</v>
      </c>
      <c r="D18" s="50" t="s">
        <v>6130</v>
      </c>
      <c r="E18" s="45" t="s">
        <v>5995</v>
      </c>
      <c r="F18" s="35" t="s">
        <v>6143</v>
      </c>
      <c r="G18" s="38" t="s">
        <v>6144</v>
      </c>
      <c r="H18" s="54" t="s">
        <v>6145</v>
      </c>
      <c r="I18" s="45" t="s">
        <v>6145</v>
      </c>
      <c r="J18" s="35" t="s">
        <v>6146</v>
      </c>
      <c r="K18" s="55" t="s">
        <v>5998</v>
      </c>
      <c r="L18" s="56" t="s">
        <v>6143</v>
      </c>
      <c r="M18" s="38" t="s">
        <v>5998</v>
      </c>
      <c r="N18" s="35" t="s">
        <v>5992</v>
      </c>
      <c r="O18" s="38" t="s">
        <v>6147</v>
      </c>
      <c r="P18" s="35" t="s">
        <v>6148</v>
      </c>
      <c r="Q18" s="39" t="s">
        <v>6145</v>
      </c>
      <c r="R18" s="35" t="s">
        <v>5998</v>
      </c>
      <c r="S18" s="38" t="s">
        <v>6143</v>
      </c>
      <c r="T18" s="54" t="s">
        <v>6145</v>
      </c>
      <c r="U18" s="75" t="s">
        <v>5985</v>
      </c>
    </row>
    <row r="19" spans="1:21" ht="44" thickBot="1">
      <c r="A19" s="36" t="s">
        <v>11</v>
      </c>
      <c r="B19" s="48"/>
      <c r="C19" s="44" t="s">
        <v>5981</v>
      </c>
      <c r="D19" s="57" t="s">
        <v>5990</v>
      </c>
      <c r="E19" s="45" t="s">
        <v>5994</v>
      </c>
      <c r="F19" s="35" t="s">
        <v>5988</v>
      </c>
      <c r="G19" s="38" t="s">
        <v>5988</v>
      </c>
      <c r="H19" s="35" t="s">
        <v>6132</v>
      </c>
      <c r="I19" s="38" t="s">
        <v>6133</v>
      </c>
      <c r="J19" s="35" t="s">
        <v>6134</v>
      </c>
      <c r="K19" s="38" t="s">
        <v>5996</v>
      </c>
      <c r="L19" s="35" t="s">
        <v>6135</v>
      </c>
      <c r="M19" s="38" t="s">
        <v>6136</v>
      </c>
      <c r="N19" s="40" t="s">
        <v>6137</v>
      </c>
      <c r="O19" s="38" t="s">
        <v>6138</v>
      </c>
      <c r="P19" s="35" t="s">
        <v>5989</v>
      </c>
      <c r="Q19" s="38" t="s">
        <v>6139</v>
      </c>
      <c r="R19" s="35" t="s">
        <v>5997</v>
      </c>
      <c r="S19" s="38" t="s">
        <v>5986</v>
      </c>
      <c r="T19" s="35" t="s">
        <v>6140</v>
      </c>
      <c r="U19" s="38" t="s">
        <v>6141</v>
      </c>
    </row>
    <row r="20" spans="1:21">
      <c r="A20" s="36"/>
      <c r="B20" s="43"/>
      <c r="C20" s="49" t="s">
        <v>6128</v>
      </c>
      <c r="D20" s="50" t="s">
        <v>5980</v>
      </c>
      <c r="E20" s="45" t="s">
        <v>5980</v>
      </c>
      <c r="F20" s="35" t="s">
        <v>5979</v>
      </c>
      <c r="G20" s="38" t="s">
        <v>5979</v>
      </c>
      <c r="H20" s="52" t="s">
        <v>5980</v>
      </c>
      <c r="I20" s="38" t="s">
        <v>5979</v>
      </c>
      <c r="J20" s="35" t="s">
        <v>5980</v>
      </c>
      <c r="K20" s="51" t="s">
        <v>5980</v>
      </c>
      <c r="L20" s="35" t="s">
        <v>5979</v>
      </c>
      <c r="M20" s="38" t="s">
        <v>6131</v>
      </c>
      <c r="N20" s="35" t="s">
        <v>6131</v>
      </c>
      <c r="O20" s="38" t="s">
        <v>5980</v>
      </c>
      <c r="P20" s="35"/>
      <c r="Q20" s="38" t="s">
        <v>5980</v>
      </c>
      <c r="R20" s="35" t="s">
        <v>5980</v>
      </c>
      <c r="S20" s="38" t="s">
        <v>5980</v>
      </c>
      <c r="T20" s="52" t="s">
        <v>5980</v>
      </c>
      <c r="U20" s="38" t="s">
        <v>5980</v>
      </c>
    </row>
  </sheetData>
  <pageMargins left="0.7" right="0.7" top="0.78740157499999996" bottom="0.78740157499999996" header="0.3" footer="0.3"/>
  <pageSetup paperSize="9" orientation="portrait" horizontalDpi="300" verticalDpi="203"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78B48B-F069-4E9D-B83B-CDC5CBD501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1. RG-RQ</vt:lpstr>
      <vt:lpstr>2. Search Queries</vt:lpstr>
      <vt:lpstr>3. Unique Results</vt:lpstr>
      <vt:lpstr>4. Selection Based on Title</vt:lpstr>
      <vt:lpstr>5. Selection Based on Abstract</vt:lpstr>
      <vt:lpstr>6. Selection Based on Full-Text</vt:lpstr>
      <vt:lpstr>6.1 Snowballing Results</vt:lpstr>
      <vt:lpstr>6.2 Snowballing Full-Text</vt:lpstr>
      <vt:lpstr>7. Data-Extraction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2015-06-05T18:19:34Z</dcterms:created>
  <dcterms:modified xsi:type="dcterms:W3CDTF">2023-01-24T12:07:07Z</dcterms:modified>
</cp:coreProperties>
</file>